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umich-my.sharepoint.com/personal/emmasmit_umich_edu/Documents/Desktop/ideas/FAST/+ExperimentPkg/"/>
    </mc:Choice>
  </mc:AlternateContent>
  <xr:revisionPtr revIDLastSave="996" documentId="11_F25DC773A252ABDACC1048AE315C4FCC5ADE58E9" xr6:coauthVersionLast="47" xr6:coauthVersionMax="47" xr10:uidLastSave="{C16C8248-7073-4373-ADD6-D7B4BF29C2DA}"/>
  <bookViews>
    <workbookView xWindow="-110" yWindow="-110" windowWidth="25180" windowHeight="16140" firstSheet="1" activeTab="1" xr2:uid="{00000000-000D-0000-FFFF-FFFF00000000}"/>
  </bookViews>
  <sheets>
    <sheet name="SV_cycle" sheetId="2" r:id="rId1"/>
    <sheet name="Engine_SV_EGT_data" sheetId="4" r:id="rId2"/>
    <sheet name="EngineData_Sources" sheetId="5" r:id="rId3"/>
    <sheet name="EngineTypeInfo_wiki" sheetId="3" r:id="rId4"/>
    <sheet name="EGTdecay_cycle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4" l="1"/>
  <c r="Q9" i="4"/>
  <c r="R9" i="4" s="1"/>
  <c r="R8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Q4" i="4"/>
  <c r="R4" i="4"/>
  <c r="Q5" i="4"/>
  <c r="R5" i="4" s="1"/>
  <c r="Q6" i="4"/>
  <c r="R6" i="4" s="1"/>
  <c r="Q7" i="4"/>
  <c r="R7" i="4" s="1"/>
  <c r="R3" i="4"/>
  <c r="Q3" i="4"/>
  <c r="O3" i="4"/>
  <c r="N3" i="4"/>
  <c r="I7" i="4"/>
  <c r="I8" i="4"/>
  <c r="I29" i="4"/>
  <c r="I30" i="4"/>
  <c r="I31" i="4"/>
  <c r="I32" i="4"/>
  <c r="I33" i="4"/>
  <c r="I28" i="4"/>
  <c r="I4" i="4"/>
  <c r="I18" i="4"/>
  <c r="I17" i="4"/>
  <c r="I16" i="4"/>
  <c r="I15" i="4"/>
  <c r="I14" i="4"/>
  <c r="I13" i="4"/>
  <c r="I12" i="4"/>
  <c r="I11" i="4"/>
  <c r="I10" i="4"/>
  <c r="I6" i="4"/>
  <c r="I5" i="4"/>
  <c r="E12" i="2"/>
  <c r="E13" i="2"/>
  <c r="S8" i="2"/>
  <c r="T8" i="2" s="1"/>
  <c r="S9" i="2"/>
  <c r="T9" i="2" s="1"/>
  <c r="S20" i="2"/>
  <c r="T20" i="2" s="1"/>
  <c r="S2" i="2"/>
  <c r="R12" i="2"/>
  <c r="R13" i="2"/>
  <c r="R14" i="2"/>
  <c r="Q3" i="2"/>
  <c r="S3" i="2" s="1"/>
  <c r="T3" i="2" s="1"/>
  <c r="Q4" i="2"/>
  <c r="S4" i="2" s="1"/>
  <c r="T4" i="2" s="1"/>
  <c r="Q5" i="2"/>
  <c r="S5" i="2" s="1"/>
  <c r="T5" i="2" s="1"/>
  <c r="Q6" i="2"/>
  <c r="S6" i="2" s="1"/>
  <c r="T6" i="2" s="1"/>
  <c r="Q7" i="2"/>
  <c r="S7" i="2" s="1"/>
  <c r="T7" i="2" s="1"/>
  <c r="Q8" i="2"/>
  <c r="Q9" i="2"/>
  <c r="Q10" i="2"/>
  <c r="S10" i="2" s="1"/>
  <c r="U10" i="2" s="1"/>
  <c r="V10" i="2" s="1"/>
  <c r="Q11" i="2"/>
  <c r="S11" i="2" s="1"/>
  <c r="T11" i="2" s="1"/>
  <c r="Q12" i="2"/>
  <c r="S12" i="2" s="1"/>
  <c r="T12" i="2" s="1"/>
  <c r="Q13" i="2"/>
  <c r="S13" i="2" s="1"/>
  <c r="U13" i="2" s="1"/>
  <c r="Q14" i="2"/>
  <c r="S14" i="2" s="1"/>
  <c r="Q15" i="2"/>
  <c r="S15" i="2" s="1"/>
  <c r="T15" i="2" s="1"/>
  <c r="Q16" i="2"/>
  <c r="S16" i="2" s="1"/>
  <c r="T16" i="2" s="1"/>
  <c r="Q17" i="2"/>
  <c r="S17" i="2" s="1"/>
  <c r="T17" i="2" s="1"/>
  <c r="Q18" i="2"/>
  <c r="S18" i="2" s="1"/>
  <c r="T18" i="2" s="1"/>
  <c r="Q19" i="2"/>
  <c r="S19" i="2" s="1"/>
  <c r="T19" i="2" s="1"/>
  <c r="Q20" i="2"/>
  <c r="Q2" i="2"/>
  <c r="O5" i="2"/>
  <c r="R5" i="2" s="1"/>
  <c r="O3" i="2"/>
  <c r="R3" i="2" s="1"/>
  <c r="O4" i="2"/>
  <c r="R4" i="2" s="1"/>
  <c r="O6" i="2"/>
  <c r="R6" i="2" s="1"/>
  <c r="O7" i="2"/>
  <c r="R7" i="2" s="1"/>
  <c r="O8" i="2"/>
  <c r="R8" i="2" s="1"/>
  <c r="O9" i="2"/>
  <c r="R9" i="2" s="1"/>
  <c r="O10" i="2"/>
  <c r="R10" i="2" s="1"/>
  <c r="O11" i="2"/>
  <c r="R11" i="2" s="1"/>
  <c r="O12" i="2"/>
  <c r="O13" i="2"/>
  <c r="O14" i="2"/>
  <c r="O15" i="2"/>
  <c r="R15" i="2" s="1"/>
  <c r="O16" i="2"/>
  <c r="R16" i="2" s="1"/>
  <c r="O17" i="2"/>
  <c r="R17" i="2" s="1"/>
  <c r="O18" i="2"/>
  <c r="R18" i="2" s="1"/>
  <c r="O19" i="2"/>
  <c r="R19" i="2" s="1"/>
  <c r="O20" i="2"/>
  <c r="R20" i="2" s="1"/>
  <c r="O2" i="2"/>
  <c r="R2" i="2" s="1"/>
  <c r="G13" i="2"/>
  <c r="G12" i="2"/>
  <c r="E14" i="2"/>
  <c r="E15" i="2"/>
  <c r="E16" i="2"/>
  <c r="E17" i="2"/>
  <c r="E18" i="2"/>
  <c r="E19" i="2"/>
  <c r="E20" i="2"/>
  <c r="G20" i="2"/>
  <c r="G19" i="2"/>
  <c r="G18" i="2"/>
  <c r="G17" i="2"/>
  <c r="G16" i="2"/>
  <c r="G15" i="2"/>
  <c r="G3" i="2"/>
  <c r="G4" i="2"/>
  <c r="G5" i="2"/>
  <c r="G2" i="2"/>
  <c r="E10" i="2"/>
  <c r="E9" i="2"/>
  <c r="E8" i="2"/>
  <c r="E7" i="2"/>
  <c r="E6" i="2"/>
  <c r="E5" i="2"/>
  <c r="E4" i="2"/>
  <c r="E3" i="2"/>
  <c r="T2" i="2" l="1"/>
  <c r="T14" i="2"/>
  <c r="T13" i="2"/>
  <c r="T10" i="2"/>
  <c r="U18" i="2"/>
  <c r="V18" i="2" s="1"/>
  <c r="U7" i="2"/>
  <c r="V7" i="2" s="1"/>
  <c r="U20" i="2"/>
  <c r="V20" i="2" s="1"/>
  <c r="U19" i="2"/>
  <c r="V19" i="2" s="1"/>
  <c r="U17" i="2"/>
  <c r="V17" i="2" s="1"/>
  <c r="U14" i="2"/>
  <c r="V14" i="2" s="1"/>
  <c r="U8" i="2"/>
  <c r="V8" i="2" s="1"/>
  <c r="U11" i="2"/>
  <c r="V11" i="2" s="1"/>
  <c r="U2" i="2"/>
  <c r="V2" i="2" s="1"/>
  <c r="U9" i="2"/>
  <c r="V9" i="2" s="1"/>
  <c r="U6" i="2"/>
  <c r="V6" i="2" s="1"/>
  <c r="U5" i="2"/>
  <c r="V5" i="2" s="1"/>
  <c r="U16" i="2"/>
  <c r="V16" i="2" s="1"/>
  <c r="U4" i="2"/>
  <c r="V4" i="2" s="1"/>
  <c r="U15" i="2"/>
  <c r="V15" i="2" s="1"/>
  <c r="U3" i="2"/>
  <c r="V3" i="2" s="1"/>
  <c r="V13" i="2"/>
  <c r="U12" i="2"/>
  <c r="V12" i="2" s="1"/>
</calcChain>
</file>

<file path=xl/sharedStrings.xml><?xml version="1.0" encoding="utf-8"?>
<sst xmlns="http://schemas.openxmlformats.org/spreadsheetml/2006/main" count="613" uniqueCount="404">
  <si>
    <t>Engine</t>
  </si>
  <si>
    <t>Variant</t>
  </si>
  <si>
    <t>V2522-A5</t>
  </si>
  <si>
    <t>A5</t>
  </si>
  <si>
    <t>V2524-A5</t>
  </si>
  <si>
    <t>V2527-M-A5</t>
  </si>
  <si>
    <t>V2527-A5</t>
  </si>
  <si>
    <t>V2530-A5</t>
  </si>
  <si>
    <t>V2533-A5</t>
  </si>
  <si>
    <t>Thrust</t>
  </si>
  <si>
    <t>Derate</t>
  </si>
  <si>
    <t>Ratec</t>
  </si>
  <si>
    <t>Mature_EGT</t>
  </si>
  <si>
    <t>CFM56-5B3</t>
  </si>
  <si>
    <t>5B</t>
  </si>
  <si>
    <t>CFM56-5B2</t>
  </si>
  <si>
    <t>CFM56-5B1</t>
  </si>
  <si>
    <t>CFM56-5B7</t>
  </si>
  <si>
    <t>CFM56-5B4</t>
  </si>
  <si>
    <t>CFM56-5B6</t>
  </si>
  <si>
    <t>CFM56-5B5</t>
  </si>
  <si>
    <t>CFM56-5B8</t>
  </si>
  <si>
    <t>CFM56-5B9</t>
  </si>
  <si>
    <t>SV1EGT</t>
  </si>
  <si>
    <t>%EGTLifeLeft</t>
  </si>
  <si>
    <t>1000c_EGTdecay</t>
  </si>
  <si>
    <t>2000c_EGTdecay</t>
  </si>
  <si>
    <t>SV1_EGTrecov</t>
  </si>
  <si>
    <t>EIS</t>
  </si>
  <si>
    <t>2000c_EGT</t>
  </si>
  <si>
    <t>CFM56-3C1</t>
  </si>
  <si>
    <t>3C</t>
  </si>
  <si>
    <t>engines want info for:</t>
  </si>
  <si>
    <t>CFM56-3B1</t>
  </si>
  <si>
    <t>EGTi_Margin</t>
  </si>
  <si>
    <t>FEC_SV1</t>
  </si>
  <si>
    <t>FEC_SV2</t>
  </si>
  <si>
    <t>FEC_SV3</t>
  </si>
  <si>
    <t>dFEC_SV2</t>
  </si>
  <si>
    <t>dFEC_SV3</t>
  </si>
  <si>
    <t>compre to the 3C derate SV data</t>
  </si>
  <si>
    <t>CFM56-3B2</t>
  </si>
  <si>
    <t>CFM56-2A2 (A3)</t>
  </si>
  <si>
    <t>CFM56-2B1</t>
  </si>
  <si>
    <t>CFM56-2C1</t>
  </si>
  <si>
    <t>CFM56-5C2</t>
  </si>
  <si>
    <t>CFM56-5C3</t>
  </si>
  <si>
    <t>CFM56-5C4</t>
  </si>
  <si>
    <t>CFM56-7B18</t>
  </si>
  <si>
    <t>CFM56-7B20</t>
  </si>
  <si>
    <t>CFM56-7B22</t>
  </si>
  <si>
    <t>CFM56-7B24</t>
  </si>
  <si>
    <t>CFM56-7B26</t>
  </si>
  <si>
    <t>CFM56-7B27</t>
  </si>
  <si>
    <t>Compressor</t>
  </si>
  <si>
    <t>Combustor</t>
  </si>
  <si>
    <t>Turbine</t>
  </si>
  <si>
    <t>Takeoff thrust</t>
  </si>
  <si>
    <t>95.99–106.76 kN</t>
  </si>
  <si>
    <t>21,580–24,000 lbf</t>
  </si>
  <si>
    <t>89.41–104.6 kN</t>
  </si>
  <si>
    <t>20,100–23,520 lbf</t>
  </si>
  <si>
    <t>97.86–117.87 kN</t>
  </si>
  <si>
    <t>22,000–26,500 lbf</t>
  </si>
  <si>
    <t>133.45–142.34 kN</t>
  </si>
  <si>
    <t>30,000–32,000 lbf</t>
  </si>
  <si>
    <t>138.78–151.24 kN</t>
  </si>
  <si>
    <t>31,200–34,000 lbf</t>
  </si>
  <si>
    <t>91.63–121.43 kN</t>
  </si>
  <si>
    <t>20,600–27,300 lbf</t>
  </si>
  <si>
    <t>Thrust/weight</t>
  </si>
  <si>
    <t>4.49–4.9</t>
  </si>
  <si>
    <t>4.49–5.22</t>
  </si>
  <si>
    <t>4.2–5.06</t>
  </si>
  <si>
    <t>5.44–5.69</t>
  </si>
  <si>
    <t>5.25–5.72</t>
  </si>
  <si>
    <t>3.84–5</t>
  </si>
  <si>
    <t>100% RPM</t>
  </si>
  <si>
    <t>LP 5176, HP 14460</t>
  </si>
  <si>
    <t>LP 5179, HP 14460</t>
  </si>
  <si>
    <t>LP 5000, HP 14460</t>
  </si>
  <si>
    <t>LP 4784, HP 14460</t>
  </si>
  <si>
    <t>LP 5175, HP 14460</t>
  </si>
  <si>
    <t>-2[58]</t>
  </si>
  <si>
    <t>-3[26]</t>
  </si>
  <si>
    <t>-5[65]</t>
  </si>
  <si>
    <t>-5B[57]</t>
  </si>
  <si>
    <t>-5C[67]</t>
  </si>
  <si>
    <t>-7B[69]</t>
  </si>
  <si>
    <t>Air flow/sec at sea level</t>
  </si>
  <si>
    <t>784–817 lb</t>
  </si>
  <si>
    <t>356–371 kg</t>
  </si>
  <si>
    <t>638–710 lb</t>
  </si>
  <si>
    <t>289–322 kg</t>
  </si>
  <si>
    <t>816–876 lb</t>
  </si>
  <si>
    <t>370–397 kg</t>
  </si>
  <si>
    <t>811–968 lb</t>
  </si>
  <si>
    <t>368–439 kg</t>
  </si>
  <si>
    <t>1,027–1,065 lb</t>
  </si>
  <si>
    <t>466–483 kg</t>
  </si>
  <si>
    <t>677–782 lb</t>
  </si>
  <si>
    <t>307–355 kg</t>
  </si>
  <si>
    <t>Bypass ratio</t>
  </si>
  <si>
    <t>5.9–6.0</t>
  </si>
  <si>
    <t>6.0–6.2</t>
  </si>
  <si>
    <t>5.4–6.0</t>
  </si>
  <si>
    <t>6.4–6.5</t>
  </si>
  <si>
    <t>5.1–5.5</t>
  </si>
  <si>
    <t>Max OPR</t>
  </si>
  <si>
    <t>30.5–31.8</t>
  </si>
  <si>
    <t>27.5–30.6</t>
  </si>
  <si>
    <t>32.6–35.5</t>
  </si>
  <si>
    <t>37.4–38.3</t>
  </si>
  <si>
    <t>Fan diameter</t>
  </si>
  <si>
    <t>68.3 in (173 cm)</t>
  </si>
  <si>
    <t>60 in (152 cm)</t>
  </si>
  <si>
    <t>72.3 in (184 cm)</t>
  </si>
  <si>
    <t>61 in (155 cm)</t>
  </si>
  <si>
    <t>Application</t>
  </si>
  <si>
    <t>Boeing KC-135</t>
  </si>
  <si>
    <t>Boeing 707</t>
  </si>
  <si>
    <t>Douglas DC-8-70</t>
  </si>
  <si>
    <t>Boeing 737 Classic</t>
  </si>
  <si>
    <t>Airbus A319</t>
  </si>
  <si>
    <t>Airbus A320</t>
  </si>
  <si>
    <t>Airbus A320 family</t>
  </si>
  <si>
    <t>Airbus A340-200/300</t>
  </si>
  <si>
    <t>Boeing 737 Next Generation</t>
  </si>
  <si>
    <t>0.366–0.376 lb/(lbf⋅h)</t>
  </si>
  <si>
    <t>10.4–10.7 g/(kN⋅s)</t>
  </si>
  <si>
    <t>0.386–0.396 lb/(lbf⋅h)</t>
  </si>
  <si>
    <t>10.9–11.2 g/(kN⋅s)</t>
  </si>
  <si>
    <t>0.3316 lb/(lbf⋅h)</t>
  </si>
  <si>
    <t>9.39 g/(kN⋅s)</t>
  </si>
  <si>
    <t>0.3266–0.3536 lb/(lbf⋅h)</t>
  </si>
  <si>
    <t>9.25–10.02 g/(kN⋅s)</t>
  </si>
  <si>
    <t>0.326–0.336 lb/(lbf⋅h)</t>
  </si>
  <si>
    <t>9.2–9.5 g/(kN⋅s)</t>
  </si>
  <si>
    <t>0.356–0.386 lb/(lbf⋅h)</t>
  </si>
  <si>
    <t>10.1–10.9 g/(kN⋅s)</t>
  </si>
  <si>
    <t>0.65 lb/(lbf⋅h)</t>
  </si>
  <si>
    <t>18 g/(kN⋅s) (-2B1)</t>
  </si>
  <si>
    <t>0.667 lb/(lbf⋅h)</t>
  </si>
  <si>
    <t>18.9 g/(kN⋅s) (-3C1)</t>
  </si>
  <si>
    <t>0.596 lb/(lbf⋅h)</t>
  </si>
  <si>
    <t>16.9 g/(kN⋅s) (-5A1)</t>
  </si>
  <si>
    <t>0.545 lb/(lbf⋅h)</t>
  </si>
  <si>
    <t>15.4 g/(kN⋅s) (-5B4)</t>
  </si>
  <si>
    <t>15.4 g/(kN⋅s) (-5C2)</t>
  </si>
  <si>
    <t>Takeoff TSFC[89]</t>
  </si>
  <si>
    <t>Cruise TSFC[90][91][92]</t>
  </si>
  <si>
    <t>5C</t>
  </si>
  <si>
    <t>7B</t>
  </si>
  <si>
    <t>2</t>
  </si>
  <si>
    <t>3</t>
  </si>
  <si>
    <t>5</t>
  </si>
  <si>
    <t>Certification</t>
  </si>
  <si>
    <t>Take-Off Thrust</t>
  </si>
  <si>
    <t>Weight</t>
  </si>
  <si>
    <t>T/W</t>
  </si>
  <si>
    <t>Application[14]</t>
  </si>
  <si>
    <t>V2500-A1[14]</t>
  </si>
  <si>
    <t>110.31 kN (24,800 lbf)</t>
  </si>
  <si>
    <t>2,404 kg (5,300 lb)</t>
  </si>
  <si>
    <t>5.4:1</t>
  </si>
  <si>
    <t>35.8:1</t>
  </si>
  <si>
    <t>V2527E-A5</t>
  </si>
  <si>
    <t>4.8:1</t>
  </si>
  <si>
    <t>32.8:1</t>
  </si>
  <si>
    <t>108.89 kN (24,480 lbf)</t>
  </si>
  <si>
    <t>V2527M-A5</t>
  </si>
  <si>
    <t>133.00 kN (29,900 lbf)</t>
  </si>
  <si>
    <t>102.48 kN (23,040 lbf)</t>
  </si>
  <si>
    <t>4.9:1</t>
  </si>
  <si>
    <t>133.30 kN (29,970 lbf)</t>
  </si>
  <si>
    <t>4.6:1</t>
  </si>
  <si>
    <t>35.2:1</t>
  </si>
  <si>
    <t>Airbus A321</t>
  </si>
  <si>
    <t>140.56 kN (31,600 lbf)</t>
  </si>
  <si>
    <t>4.5:1</t>
  </si>
  <si>
    <t>V2531-E5[15]</t>
  </si>
  <si>
    <t>139.36 kN (31,330 lbf)</t>
  </si>
  <si>
    <t>4.7:1</t>
  </si>
  <si>
    <t>36.2:1</t>
  </si>
  <si>
    <t>Embraer KC-390</t>
  </si>
  <si>
    <t>V2525-D5</t>
  </si>
  <si>
    <t>111.20 kN (25,000 lbf)</t>
  </si>
  <si>
    <t>2,595 kg (5,721 lb)</t>
  </si>
  <si>
    <t>34.5:1</t>
  </si>
  <si>
    <t>McDonnell Douglas MD-90</t>
  </si>
  <si>
    <t>V2528-D5</t>
  </si>
  <si>
    <t>124.55 kN (28,000 lbf)</t>
  </si>
  <si>
    <t>BPR[14]</t>
  </si>
  <si>
    <t>Comp.[14]</t>
  </si>
  <si>
    <t>V2500-A1</t>
  </si>
  <si>
    <t>V2531-E5</t>
  </si>
  <si>
    <t>Model</t>
  </si>
  <si>
    <t>Thrust range</t>
  </si>
  <si>
    <t>Introduction</t>
  </si>
  <si>
    <t>-1A</t>
  </si>
  <si>
    <t>Airbus A320neo family</t>
  </si>
  <si>
    <t>24,500–35,000 lbf (109–156 kN)</t>
  </si>
  <si>
    <t>2 August 2016[48]</t>
  </si>
  <si>
    <t>-1B</t>
  </si>
  <si>
    <t>Boeing 737 MAX</t>
  </si>
  <si>
    <t>23,000–29,000 lbf (100–130 kN)</t>
  </si>
  <si>
    <t>22 May 2017[49]</t>
  </si>
  <si>
    <t>-1C</t>
  </si>
  <si>
    <t>Comac C919</t>
  </si>
  <si>
    <t>27,980–30,000 lbf (124.5–133.4 kN)</t>
  </si>
  <si>
    <t>28 May 2023[50]</t>
  </si>
  <si>
    <t>LEAP-1A</t>
  </si>
  <si>
    <t>LEAP-1B</t>
  </si>
  <si>
    <t>LEAP-1C</t>
  </si>
  <si>
    <t>Take-off</t>
  </si>
  <si>
    <t>Max. continuous</t>
  </si>
  <si>
    <t>-1A23</t>
  </si>
  <si>
    <t>106.80 kN (24,010 lbf)</t>
  </si>
  <si>
    <t>104.58 kN (23,510 lbf)</t>
  </si>
  <si>
    <t>—N/a</t>
  </si>
  <si>
    <t>-1A24</t>
  </si>
  <si>
    <t>106.76 kN (24,000 lbf)</t>
  </si>
  <si>
    <t>Airbus A319neo (A319-151N), Airbus A320neo (A320-252N)</t>
  </si>
  <si>
    <t>-1A26</t>
  </si>
  <si>
    <t>120.64 kN (27,120 lbf)</t>
  </si>
  <si>
    <t>118.68 kN (26,680 lbf)</t>
  </si>
  <si>
    <t>Airbus A319neo (A319-153N), Airbus A320neo (A320-251N)</t>
  </si>
  <si>
    <t>-1A29</t>
  </si>
  <si>
    <t>130.29 kN (29,290 lbf)</t>
  </si>
  <si>
    <t>Airbus A320neo (A320-253N)</t>
  </si>
  <si>
    <t>-1A30</t>
  </si>
  <si>
    <t>143.05 kN (32,160 lbf)</t>
  </si>
  <si>
    <t>140.96 kN (31,690 lbf)</t>
  </si>
  <si>
    <t>Airbus A321neo (A321-252N), (A321-252NX)</t>
  </si>
  <si>
    <t>-1A32</t>
  </si>
  <si>
    <t>Airbus A321neo (A321-251N), (A321-251NX)</t>
  </si>
  <si>
    <t>-1A32X</t>
  </si>
  <si>
    <t>110.54 kN (24,850 lbf)</t>
  </si>
  <si>
    <t>-1A33</t>
  </si>
  <si>
    <t>Airbus A321neo (A321-253N), (A321-253NX)</t>
  </si>
  <si>
    <t>-1A33X</t>
  </si>
  <si>
    <t>Airbus A321XLR (A321-253NY)</t>
  </si>
  <si>
    <t>-1A35A</t>
  </si>
  <si>
    <t>-1A35AX</t>
  </si>
  <si>
    <t>-1B25</t>
  </si>
  <si>
    <t>119.15 kN (26,790 lbf)</t>
  </si>
  <si>
    <t>115.47 kN (25,960 lbf)</t>
  </si>
  <si>
    <t>Boeing 737 MAX 8, 737 MAX 8-200</t>
  </si>
  <si>
    <t>-1B27</t>
  </si>
  <si>
    <t>124.71 kN (28,040 lbf)</t>
  </si>
  <si>
    <t>121.31 kN (27,270 lbf)</t>
  </si>
  <si>
    <t>-1B28</t>
  </si>
  <si>
    <t>130.41 kN (29,320 lbf)</t>
  </si>
  <si>
    <t>127.62 kN (28,690 lbf)</t>
  </si>
  <si>
    <t>Boeing 737 MAX 8, 737 MAX 8-200, Boeing 737 MAX 9</t>
  </si>
  <si>
    <t>-1C28</t>
  </si>
  <si>
    <t>129.98 kN (29,220 lbf)</t>
  </si>
  <si>
    <t>127.93 kN (28,760 lbf)</t>
  </si>
  <si>
    <t>Comac C919-100STD</t>
  </si>
  <si>
    <t>-1C30</t>
  </si>
  <si>
    <t>137.14 kN (30,830 lbf)</t>
  </si>
  <si>
    <t>133.22 kN (29,950 lbf)</t>
  </si>
  <si>
    <t>Comac C919-100ER</t>
  </si>
  <si>
    <t>LEAP-1A23</t>
  </si>
  <si>
    <t>LEAP-1A24</t>
  </si>
  <si>
    <t>Program[a]</t>
  </si>
  <si>
    <t>PW1700G</t>
  </si>
  <si>
    <t>Fan Diameter</t>
  </si>
  <si>
    <t>81 in (206 cm), 20 blades</t>
  </si>
  <si>
    <t>73 in (185 cm), 18 blades</t>
  </si>
  <si>
    <t>56 in (142 cm), 18 blades</t>
  </si>
  <si>
    <t>12.5:1</t>
  </si>
  <si>
    <t>12.5:1[130]</t>
  </si>
  <si>
    <t>Static Thrust</t>
  </si>
  <si>
    <t>24,000–35,000 lbf (110–160 kN)</t>
  </si>
  <si>
    <t>28,000–31,000 lbf (120–140 kN)</t>
  </si>
  <si>
    <t>19,000–23,300 lbf (85–104 kN)</t>
  </si>
  <si>
    <t>17,000–23,000 lbf (76–102 kN)</t>
  </si>
  <si>
    <t>24,000 lbf (107 kN)</t>
  </si>
  <si>
    <t>15,000–17,000 lbf (67–76 kN)</t>
  </si>
  <si>
    <t>15,000 lbf (67 kN)</t>
  </si>
  <si>
    <t>Axial flow, 1 geared fan, 3 stage LPC, 8 stage HPC</t>
  </si>
  <si>
    <t>Axial flow, 1 geared fan, 2 stage LPC, 8 stage HPC</t>
  </si>
  <si>
    <t>Talon-X Lean-Burn Combustor[131]</t>
  </si>
  <si>
    <t>Axial flow, 2-stage HP, 3-stage LP</t>
  </si>
  <si>
    <t>A320neo family</t>
  </si>
  <si>
    <t>Yakovlev MC-21</t>
  </si>
  <si>
    <t>A220 family</t>
  </si>
  <si>
    <t>E-Jet E2 190/195</t>
  </si>
  <si>
    <t>X-66</t>
  </si>
  <si>
    <t>E-Jet E2 175</t>
  </si>
  <si>
    <t>SpaceJet M90/M100</t>
  </si>
  <si>
    <t>Service entry</t>
  </si>
  <si>
    <t>Likely cancelled[b]</t>
  </si>
  <si>
    <t>–</t>
  </si>
  <si>
    <t>Cancelled</t>
  </si>
  <si>
    <t>Length[c]</t>
  </si>
  <si>
    <t>133.9 in (3.401 m)</t>
  </si>
  <si>
    <t>125.4 in (3.184 m)</t>
  </si>
  <si>
    <t>113.5 in (2.88 m)</t>
  </si>
  <si>
    <t>Fan case diameter</t>
  </si>
  <si>
    <t>87.6 in (2,230 mm)</t>
  </si>
  <si>
    <t>79 in (2,000 mm)</t>
  </si>
  <si>
    <t>62 in (1,600 mm)</t>
  </si>
  <si>
    <t>6,300 lb (2,858 kg)</t>
  </si>
  <si>
    <t>4,800 lb (2,177 kg)</t>
  </si>
  <si>
    <t>3,800 lb (1,724 kg)</t>
  </si>
  <si>
    <t>Takeoff thrust</t>
  </si>
  <si>
    <t>30/33G: 33,110 lbf (147.28 kN)</t>
  </si>
  <si>
    <t>27G: 27,075 lbf (120.43 kN)</t>
  </si>
  <si>
    <t>24/22G: 24,240 lbf (107.82 kN)</t>
  </si>
  <si>
    <t>31,572 lbf (140.39 kN)</t>
  </si>
  <si>
    <t>19G: 19,775 lbf (87.96 kN)</t>
  </si>
  <si>
    <t>21G: 21,970 lbf (97.73 kN)</t>
  </si>
  <si>
    <t>24/25G: 24,400 lbf (108.54 kN)</t>
  </si>
  <si>
    <t>19G: 20,860 lbf / 92.79 kN</t>
  </si>
  <si>
    <t>21G: 22,550 lbf / 100.31 kN</t>
  </si>
  <si>
    <t>22/23G: 23,815 lbf / 105.93 kN</t>
  </si>
  <si>
    <t>19,190 lbf (85.4 kN)</t>
  </si>
  <si>
    <t>Thrust-to-weight ratio</t>
  </si>
  <si>
    <t>3.85 – 5.26</t>
  </si>
  <si>
    <t>4.12 – 5.08</t>
  </si>
  <si>
    <t>4.35 – 4.96</t>
  </si>
  <si>
    <t>Max. LP Rotor speed</t>
  </si>
  <si>
    <t>10,047 RPM</t>
  </si>
  <si>
    <t>10,600 RPM</t>
  </si>
  <si>
    <t>12,680 RPM</t>
  </si>
  <si>
    <t>Max. Fan speed</t>
  </si>
  <si>
    <t>3,281 RPM</t>
  </si>
  <si>
    <t>3,461 RPM</t>
  </si>
  <si>
    <t>5,264 RPM</t>
  </si>
  <si>
    <t>Max. HP Rotor speed</t>
  </si>
  <si>
    <t>22,300 RPM</t>
  </si>
  <si>
    <t>24,470 RPM</t>
  </si>
  <si>
    <t>25,160 RPM</t>
  </si>
  <si>
    <t>PW1100G</t>
  </si>
  <si>
    <t>PW1400G</t>
  </si>
  <si>
    <t>PW1500G</t>
  </si>
  <si>
    <t>PW1900G</t>
  </si>
  <si>
    <t>PW102XG</t>
  </si>
  <si>
    <t>PW1200G</t>
  </si>
  <si>
    <t>LEAP-1A26</t>
  </si>
  <si>
    <t>LEAP-1A29</t>
  </si>
  <si>
    <t>LEAP-1A30</t>
  </si>
  <si>
    <t>LEAP-1A32</t>
  </si>
  <si>
    <t>LEAP-1A32X</t>
  </si>
  <si>
    <t>LEAP-1A33</t>
  </si>
  <si>
    <t>LEAP-1A33X</t>
  </si>
  <si>
    <t>LEAP-1A35A</t>
  </si>
  <si>
    <t>LEAP-1A35AX</t>
  </si>
  <si>
    <t>LEAP-1B25</t>
  </si>
  <si>
    <t>LEAP-1B27</t>
  </si>
  <si>
    <t>LEAP-1B28</t>
  </si>
  <si>
    <t>LEAP-1C28</t>
  </si>
  <si>
    <t>LEAP-1C30</t>
  </si>
  <si>
    <t>r_decay</t>
  </si>
  <si>
    <t>dEGT_1000FEC</t>
  </si>
  <si>
    <t>dEGT_2000FEC</t>
  </si>
  <si>
    <t>Thrust (lbf)</t>
  </si>
  <si>
    <t>AC_Type</t>
  </si>
  <si>
    <t>Cert Date</t>
  </si>
  <si>
    <t>Sources</t>
  </si>
  <si>
    <t>EGT_preSV1</t>
  </si>
  <si>
    <t>EGT_postSV1</t>
  </si>
  <si>
    <t>Cycles</t>
  </si>
  <si>
    <t>Family</t>
  </si>
  <si>
    <t>CFM56</t>
  </si>
  <si>
    <t>Data Type (1=train, 0=validate)</t>
  </si>
  <si>
    <t>Boeing 737-300/-400/-500</t>
  </si>
  <si>
    <t>Boeing 737-300/-500</t>
  </si>
  <si>
    <t>Boeing 737-300/-400</t>
  </si>
  <si>
    <t>Airbus A319/A319CJ</t>
  </si>
  <si>
    <t>Airbus A319/A320</t>
  </si>
  <si>
    <t>Airbus A318</t>
  </si>
  <si>
    <t>Airbus A340-200/-300</t>
  </si>
  <si>
    <t>Boeing 737-600/-700</t>
  </si>
  <si>
    <t>Boeing 737-600/-700/-800</t>
  </si>
  <si>
    <t>Boeing 737-700/-800/-900</t>
  </si>
  <si>
    <t>Boeing 737-800/-900/-900ER</t>
  </si>
  <si>
    <t>Avg FH per FEC</t>
  </si>
  <si>
    <t>6.4 - 7.6</t>
  </si>
  <si>
    <t>6.4 - 7.7</t>
  </si>
  <si>
    <t>6.4 - 7.8</t>
  </si>
  <si>
    <t>General comments</t>
  </si>
  <si>
    <t>in cfm56-3 operating handbook mature egt is post shop vist</t>
  </si>
  <si>
    <t>engine performance very dependent on OAT as well -- assumes moderate OAT 20C (68F)</t>
  </si>
  <si>
    <t>Avg OAT_C</t>
  </si>
  <si>
    <t>SV_types</t>
  </si>
  <si>
    <t>SV1_cost</t>
  </si>
  <si>
    <t>SV2_cost`</t>
  </si>
  <si>
    <t>SV3_cost</t>
  </si>
  <si>
    <t xml:space="preserve">Engine </t>
  </si>
  <si>
    <t>Mission Info</t>
  </si>
  <si>
    <t>Initial States</t>
  </si>
  <si>
    <t>SV_FEC</t>
  </si>
  <si>
    <t>EGTm_Decay_Info</t>
  </si>
  <si>
    <t>SV Costs</t>
  </si>
  <si>
    <t>min, max r_decay</t>
  </si>
  <si>
    <t>3, 4</t>
  </si>
  <si>
    <t>2, 3</t>
  </si>
  <si>
    <t>EGT_recovery</t>
  </si>
  <si>
    <t>New Engines (Little Info)</t>
  </si>
  <si>
    <t>4,5</t>
  </si>
  <si>
    <t>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</si>
</sst>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021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43">
    <xf numFmtId="0" fontId="0" fillId="0" borderId="0" xfId="0"/>
    <xf numFmtId="164" fontId="0" fillId="0" borderId="0" xfId="1" applyNumberFormat="1" applyFont="1"/>
    <xf numFmtId="0" fontId="0" fillId="0" borderId="0" xfId="1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0" fontId="0" fillId="0" borderId="0" xfId="1" applyNumberFormat="1" applyFont="1" applyAlignment="1">
      <alignment horizontal="center" vertical="center" wrapText="1"/>
    </xf>
    <xf numFmtId="1" fontId="0" fillId="0" borderId="0" xfId="1" applyNumberFormat="1" applyFont="1"/>
    <xf numFmtId="165" fontId="0" fillId="0" borderId="0" xfId="2" applyNumberFormat="1" applyFont="1"/>
    <xf numFmtId="166" fontId="0" fillId="0" borderId="0" xfId="0" applyNumberFormat="1"/>
    <xf numFmtId="9" fontId="0" fillId="0" borderId="0" xfId="1" applyFont="1"/>
    <xf numFmtId="0" fontId="6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15" fontId="0" fillId="0" borderId="0" xfId="0" applyNumberFormat="1"/>
    <xf numFmtId="0" fontId="0" fillId="0" borderId="0" xfId="0" applyAlignment="1">
      <alignment vertical="center"/>
    </xf>
    <xf numFmtId="15" fontId="0" fillId="0" borderId="0" xfId="0" applyNumberFormat="1" applyAlignment="1">
      <alignment vertical="center" wrapText="1"/>
    </xf>
    <xf numFmtId="20" fontId="0" fillId="0" borderId="0" xfId="0" applyNumberFormat="1"/>
    <xf numFmtId="165" fontId="0" fillId="0" borderId="0" xfId="2" applyNumberFormat="1" applyFont="1" applyAlignment="1">
      <alignment vertical="center"/>
    </xf>
    <xf numFmtId="0" fontId="0" fillId="0" borderId="0" xfId="0" applyFont="1" applyAlignment="1">
      <alignment vertical="center"/>
    </xf>
    <xf numFmtId="0" fontId="2" fillId="0" borderId="1" xfId="3" applyAlignment="1">
      <alignment vertical="center"/>
    </xf>
    <xf numFmtId="0" fontId="2" fillId="0" borderId="1" xfId="3"/>
    <xf numFmtId="0" fontId="3" fillId="0" borderId="2" xfId="4" applyAlignment="1">
      <alignment horizontal="center" vertical="center" wrapText="1"/>
    </xf>
    <xf numFmtId="0" fontId="3" fillId="0" borderId="2" xfId="4"/>
    <xf numFmtId="0" fontId="2" fillId="0" borderId="3" xfId="3" applyBorder="1" applyAlignment="1">
      <alignment horizontal="center" vertical="center"/>
    </xf>
    <xf numFmtId="165" fontId="2" fillId="0" borderId="3" xfId="3" applyNumberFormat="1" applyBorder="1" applyAlignment="1">
      <alignment horizontal="center" vertical="center"/>
    </xf>
    <xf numFmtId="0" fontId="2" fillId="0" borderId="3" xfId="3" applyBorder="1" applyAlignment="1">
      <alignment vertical="center"/>
    </xf>
    <xf numFmtId="0" fontId="3" fillId="0" borderId="3" xfId="4" applyBorder="1" applyAlignment="1">
      <alignment horizontal="center" vertical="center"/>
    </xf>
    <xf numFmtId="0" fontId="3" fillId="0" borderId="3" xfId="4" applyBorder="1" applyAlignment="1">
      <alignment horizontal="center" vertical="center" wrapText="1"/>
    </xf>
    <xf numFmtId="165" fontId="3" fillId="0" borderId="3" xfId="4" applyNumberFormat="1" applyBorder="1" applyAlignment="1">
      <alignment horizontal="center" vertical="center" wrapText="1"/>
    </xf>
    <xf numFmtId="164" fontId="3" fillId="0" borderId="3" xfId="4" applyNumberFormat="1" applyBorder="1" applyAlignment="1">
      <alignment horizontal="center" vertical="center" wrapText="1"/>
    </xf>
    <xf numFmtId="0" fontId="3" fillId="0" borderId="3" xfId="4" applyNumberFormat="1" applyBorder="1" applyAlignment="1">
      <alignment horizontal="center" vertical="center" wrapText="1"/>
    </xf>
    <xf numFmtId="0" fontId="0" fillId="0" borderId="3" xfId="0" applyFont="1" applyBorder="1" applyAlignment="1">
      <alignment vertical="center"/>
    </xf>
    <xf numFmtId="165" fontId="0" fillId="0" borderId="3" xfId="2" applyNumberFormat="1" applyFont="1" applyBorder="1" applyAlignment="1">
      <alignment vertical="center"/>
    </xf>
    <xf numFmtId="164" fontId="0" fillId="0" borderId="3" xfId="1" applyNumberFormat="1" applyFont="1" applyBorder="1" applyAlignment="1">
      <alignment vertical="center"/>
    </xf>
    <xf numFmtId="0" fontId="0" fillId="0" borderId="3" xfId="1" applyNumberFormat="1" applyFont="1" applyBorder="1" applyAlignment="1">
      <alignment vertical="center"/>
    </xf>
    <xf numFmtId="1" fontId="0" fillId="0" borderId="3" xfId="0" applyNumberFormat="1" applyFont="1" applyBorder="1" applyAlignment="1">
      <alignment vertical="center"/>
    </xf>
    <xf numFmtId="0" fontId="0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0" fillId="0" borderId="3" xfId="0" applyNumberFormat="1" applyFont="1" applyBorder="1" applyAlignment="1">
      <alignment vertical="center"/>
    </xf>
    <xf numFmtId="166" fontId="0" fillId="0" borderId="3" xfId="0" applyNumberFormat="1" applyFont="1" applyBorder="1" applyAlignment="1">
      <alignment vertical="center"/>
    </xf>
    <xf numFmtId="0" fontId="3" fillId="2" borderId="3" xfId="4" applyFill="1" applyBorder="1" applyAlignment="1">
      <alignment horizontal="center" vertical="center" wrapText="1"/>
    </xf>
  </cellXfs>
  <cellStyles count="5">
    <cellStyle name="Comma" xfId="2" builtinId="3"/>
    <cellStyle name="Heading 2" xfId="3" builtinId="17"/>
    <cellStyle name="Heading 3" xfId="4" builtinId="18"/>
    <cellStyle name="Normal" xfId="0" builtinId="0"/>
    <cellStyle name="Percent" xfId="1" builtinId="5"/>
  </cellStyles>
  <dxfs count="50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  <dxf>
      <border outline="0">
        <left style="medium">
          <color indexed="64"/>
        </left>
        <top style="thick">
          <color theme="4" tint="0.499984740745262"/>
        </top>
        <bottom style="medium">
          <color indexed="64"/>
        </bottom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\-mmm\-yy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12599720975635"/>
          <c:y val="4.2801556420233464E-2"/>
          <c:w val="0.76318882520376119"/>
          <c:h val="0.56992738748123406"/>
        </c:manualLayout>
      </c:layout>
      <c:scatterChart>
        <c:scatterStyle val="lineMarker"/>
        <c:varyColors val="0"/>
        <c:ser>
          <c:idx val="0"/>
          <c:order val="0"/>
          <c:tx>
            <c:strRef>
              <c:f>SV_cycle!$A$2</c:f>
              <c:strCache>
                <c:ptCount val="1"/>
                <c:pt idx="0">
                  <c:v>CFM56-3C1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157316182981242"/>
                  <c:y val="4.62204724409448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4193511603699016"/>
                  <c:y val="-5.72223413707527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SV_cycle!$E$2:$E$5</c:f>
              <c:numCache>
                <c:formatCode>0.0%</c:formatCode>
                <c:ptCount val="4"/>
                <c:pt idx="0">
                  <c:v>0</c:v>
                </c:pt>
                <c:pt idx="1">
                  <c:v>6.3829787234042548E-2</c:v>
                </c:pt>
                <c:pt idx="2">
                  <c:v>0.14893617021276595</c:v>
                </c:pt>
                <c:pt idx="3">
                  <c:v>0.21276595744680851</c:v>
                </c:pt>
              </c:numCache>
            </c:numRef>
          </c:xVal>
          <c:yVal>
            <c:numRef>
              <c:f>SV_cycle!$F$2:$F$5</c:f>
              <c:numCache>
                <c:formatCode>General</c:formatCode>
                <c:ptCount val="4"/>
                <c:pt idx="0">
                  <c:v>53</c:v>
                </c:pt>
                <c:pt idx="1">
                  <c:v>75</c:v>
                </c:pt>
                <c:pt idx="2">
                  <c:v>140</c:v>
                </c:pt>
                <c:pt idx="3">
                  <c:v>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77-4440-B9F1-105E7ED808DE}"/>
            </c:ext>
          </c:extLst>
        </c:ser>
        <c:ser>
          <c:idx val="1"/>
          <c:order val="1"/>
          <c:tx>
            <c:strRef>
              <c:f>SV_cycle!$A$6</c:f>
              <c:strCache>
                <c:ptCount val="1"/>
                <c:pt idx="0">
                  <c:v>V2522-A5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2744442147595516E-2"/>
                  <c:y val="8.52063482337081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5.9230739328181896E-2"/>
                  <c:y val="0.175384049756426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SV_cycle!$E$6:$E$11</c:f>
              <c:numCache>
                <c:formatCode>0.0%</c:formatCode>
                <c:ptCount val="6"/>
                <c:pt idx="0">
                  <c:v>0.27088607594936709</c:v>
                </c:pt>
                <c:pt idx="1">
                  <c:v>0.22531645569620254</c:v>
                </c:pt>
                <c:pt idx="2">
                  <c:v>0.21518987341772153</c:v>
                </c:pt>
                <c:pt idx="3">
                  <c:v>0.21518987341772153</c:v>
                </c:pt>
                <c:pt idx="4">
                  <c:v>5.3797468354430382E-2</c:v>
                </c:pt>
                <c:pt idx="5">
                  <c:v>0</c:v>
                </c:pt>
              </c:numCache>
            </c:numRef>
          </c:xVal>
          <c:yVal>
            <c:numRef>
              <c:f>SV_cycle!$F$6:$F$11</c:f>
              <c:numCache>
                <c:formatCode>General</c:formatCode>
                <c:ptCount val="6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55</c:v>
                </c:pt>
                <c:pt idx="5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6A-40E8-8286-F150D71FEC48}"/>
            </c:ext>
          </c:extLst>
        </c:ser>
        <c:ser>
          <c:idx val="2"/>
          <c:order val="2"/>
          <c:tx>
            <c:strRef>
              <c:f>SV_cycle!$A$12</c:f>
              <c:strCache>
                <c:ptCount val="1"/>
                <c:pt idx="0">
                  <c:v>CFM56-5B3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418972792964784"/>
                  <c:y val="-2.09758264652716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9259902989361657"/>
                  <c:y val="8.799534299457703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SV_cycle!$E$12:$E$20</c:f>
              <c:numCache>
                <c:formatCode>0.0%</c:formatCode>
                <c:ptCount val="9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0.15625</c:v>
                </c:pt>
                <c:pt idx="4">
                  <c:v>0.15625</c:v>
                </c:pt>
                <c:pt idx="5">
                  <c:v>0.265625</c:v>
                </c:pt>
                <c:pt idx="6">
                  <c:v>0.3125</c:v>
                </c:pt>
                <c:pt idx="7">
                  <c:v>0.32500000000000001</c:v>
                </c:pt>
                <c:pt idx="8">
                  <c:v>0.27187499999999998</c:v>
                </c:pt>
              </c:numCache>
            </c:numRef>
          </c:xVal>
          <c:yVal>
            <c:numRef>
              <c:f>SV_cycle!$F$12:$F$20</c:f>
              <c:numCache>
                <c:formatCode>General</c:formatCode>
                <c:ptCount val="9"/>
                <c:pt idx="0">
                  <c:v>66</c:v>
                </c:pt>
                <c:pt idx="1">
                  <c:v>95</c:v>
                </c:pt>
                <c:pt idx="2">
                  <c:v>105</c:v>
                </c:pt>
                <c:pt idx="3">
                  <c:v>109</c:v>
                </c:pt>
                <c:pt idx="4">
                  <c:v>109</c:v>
                </c:pt>
                <c:pt idx="5">
                  <c:v>145</c:v>
                </c:pt>
                <c:pt idx="6">
                  <c:v>163</c:v>
                </c:pt>
                <c:pt idx="7">
                  <c:v>180</c:v>
                </c:pt>
                <c:pt idx="8">
                  <c:v>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16A-40E8-8286-F150D71FE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269119"/>
        <c:axId val="1314266239"/>
      </c:scatterChart>
      <c:valAx>
        <c:axId val="131426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Derate Thrust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266239"/>
        <c:crosses val="autoZero"/>
        <c:crossBetween val="midCat"/>
      </c:valAx>
      <c:valAx>
        <c:axId val="131426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EGT</a:t>
                </a:r>
                <a:r>
                  <a:rPr lang="en-US" baseline="0">
                    <a:solidFill>
                      <a:schemeClr val="tx1"/>
                    </a:solidFill>
                  </a:rPr>
                  <a:t> Margin </a:t>
                </a:r>
                <a:r>
                  <a:rPr lang="en-US" sz="1000" b="0" i="0" u="none" strike="noStrike" baseline="0">
                    <a:solidFill>
                      <a:schemeClr val="tx1"/>
                    </a:solidFill>
                    <a:effectLst/>
                  </a:rPr>
                  <a:t>°C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269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Decay</a:t>
            </a:r>
            <a:r>
              <a:rPr lang="en-US" baseline="0"/>
              <a:t>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SV_cycle!$A$2</c:f>
              <c:strCache>
                <c:ptCount val="1"/>
                <c:pt idx="0">
                  <c:v>CFM56-3C1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86206322518353E-3"/>
                  <c:y val="5.8255327349815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SV_cycle!$E$2:$E$5</c:f>
              <c:numCache>
                <c:formatCode>0.0%</c:formatCode>
                <c:ptCount val="4"/>
                <c:pt idx="0">
                  <c:v>0</c:v>
                </c:pt>
                <c:pt idx="1">
                  <c:v>6.3829787234042548E-2</c:v>
                </c:pt>
                <c:pt idx="2">
                  <c:v>0.14893617021276595</c:v>
                </c:pt>
                <c:pt idx="3">
                  <c:v>0.21276595744680851</c:v>
                </c:pt>
              </c:numCache>
            </c:numRef>
          </c:xVal>
          <c:yVal>
            <c:numRef>
              <c:f>SV_cycle!$M$2:$M$5</c:f>
              <c:numCache>
                <c:formatCode>General</c:formatCode>
                <c:ptCount val="4"/>
                <c:pt idx="0">
                  <c:v>3</c:v>
                </c:pt>
                <c:pt idx="1">
                  <c:v>2.5</c:v>
                </c:pt>
                <c:pt idx="2">
                  <c:v>2</c:v>
                </c:pt>
                <c:pt idx="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38-41D1-827F-77AD2AC678CC}"/>
            </c:ext>
          </c:extLst>
        </c:ser>
        <c:ser>
          <c:idx val="1"/>
          <c:order val="1"/>
          <c:tx>
            <c:strRef>
              <c:f>SV_cycle!$A$6</c:f>
              <c:strCache>
                <c:ptCount val="1"/>
                <c:pt idx="0">
                  <c:v>V2522-A5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67693229678214"/>
                  <c:y val="8.1689884918231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SV_cycle!$E$6:$E$11</c:f>
              <c:numCache>
                <c:formatCode>0.0%</c:formatCode>
                <c:ptCount val="6"/>
                <c:pt idx="0">
                  <c:v>0.27088607594936709</c:v>
                </c:pt>
                <c:pt idx="1">
                  <c:v>0.22531645569620254</c:v>
                </c:pt>
                <c:pt idx="2">
                  <c:v>0.21518987341772153</c:v>
                </c:pt>
                <c:pt idx="3">
                  <c:v>0.21518987341772153</c:v>
                </c:pt>
                <c:pt idx="4">
                  <c:v>5.3797468354430382E-2</c:v>
                </c:pt>
                <c:pt idx="5">
                  <c:v>0</c:v>
                </c:pt>
              </c:numCache>
            </c:numRef>
          </c:xVal>
          <c:yVal>
            <c:numRef>
              <c:f>SV_cycle!$M$6:$M$11</c:f>
              <c:numCache>
                <c:formatCode>General</c:formatCode>
                <c:ptCount val="6"/>
                <c:pt idx="0">
                  <c:v>2.1</c:v>
                </c:pt>
                <c:pt idx="1">
                  <c:v>2.2999999999999998</c:v>
                </c:pt>
                <c:pt idx="2">
                  <c:v>3</c:v>
                </c:pt>
                <c:pt idx="3">
                  <c:v>3</c:v>
                </c:pt>
                <c:pt idx="4">
                  <c:v>3.5</c:v>
                </c:pt>
                <c:pt idx="5">
                  <c:v>4.0999999999999996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75-4CBE-B039-84A88F069DDD}"/>
            </c:ext>
          </c:extLst>
        </c:ser>
        <c:ser>
          <c:idx val="2"/>
          <c:order val="2"/>
          <c:tx>
            <c:strRef>
              <c:f>SV_cycle!$A$12</c:f>
              <c:strCache>
                <c:ptCount val="1"/>
                <c:pt idx="0">
                  <c:v>CFM56-5B3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8098749812721607E-2"/>
                  <c:y val="-0.106675293210726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SV_cycle!$E$12:$E$20</c:f>
              <c:numCache>
                <c:formatCode>0.0%</c:formatCode>
                <c:ptCount val="9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0.15625</c:v>
                </c:pt>
                <c:pt idx="4">
                  <c:v>0.15625</c:v>
                </c:pt>
                <c:pt idx="5">
                  <c:v>0.265625</c:v>
                </c:pt>
                <c:pt idx="6">
                  <c:v>0.3125</c:v>
                </c:pt>
                <c:pt idx="7">
                  <c:v>0.32500000000000001</c:v>
                </c:pt>
                <c:pt idx="8">
                  <c:v>0.27187499999999998</c:v>
                </c:pt>
              </c:numCache>
            </c:numRef>
          </c:xVal>
          <c:yVal>
            <c:numRef>
              <c:f>SV_cycle!$M$12:$M$20</c:f>
              <c:numCache>
                <c:formatCode>0.0</c:formatCode>
                <c:ptCount val="9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3.5</c:v>
                </c:pt>
                <c:pt idx="6">
                  <c:v>3</c:v>
                </c:pt>
                <c:pt idx="7">
                  <c:v>2.8</c:v>
                </c:pt>
                <c:pt idx="8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75-4CBE-B039-84A88F069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335023"/>
        <c:axId val="1043334543"/>
      </c:scatterChart>
      <c:valAx>
        <c:axId val="104333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334543"/>
        <c:crosses val="autoZero"/>
        <c:crossBetween val="midCat"/>
      </c:valAx>
      <c:valAx>
        <c:axId val="104333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EGT Linear Decay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335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1000c EGT</a:t>
            </a:r>
            <a:r>
              <a:rPr lang="en-US" baseline="0"/>
              <a:t> Decay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SV_cycle!$A$2</c:f>
              <c:strCache>
                <c:ptCount val="1"/>
                <c:pt idx="0">
                  <c:v>CFM56-3C1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SV_cycle!$E$2:$E$5</c:f>
              <c:numCache>
                <c:formatCode>0.0%</c:formatCode>
                <c:ptCount val="4"/>
                <c:pt idx="0">
                  <c:v>0</c:v>
                </c:pt>
                <c:pt idx="1">
                  <c:v>6.3829787234042548E-2</c:v>
                </c:pt>
                <c:pt idx="2">
                  <c:v>0.14893617021276595</c:v>
                </c:pt>
                <c:pt idx="3">
                  <c:v>0.21276595744680851</c:v>
                </c:pt>
              </c:numCache>
            </c:numRef>
          </c:xVal>
          <c:yVal>
            <c:numRef>
              <c:f>SV_cycle!$O$2:$O$5</c:f>
              <c:numCache>
                <c:formatCode>General</c:formatCode>
                <c:ptCount val="4"/>
                <c:pt idx="0">
                  <c:v>43</c:v>
                </c:pt>
                <c:pt idx="1">
                  <c:v>68</c:v>
                </c:pt>
                <c:pt idx="2">
                  <c:v>133</c:v>
                </c:pt>
                <c:pt idx="3">
                  <c:v>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27-49BC-9136-75ED4BB86BF5}"/>
            </c:ext>
          </c:extLst>
        </c:ser>
        <c:ser>
          <c:idx val="2"/>
          <c:order val="1"/>
          <c:tx>
            <c:strRef>
              <c:f>SV_cycle!$A$6</c:f>
              <c:strCache>
                <c:ptCount val="1"/>
                <c:pt idx="0">
                  <c:v>V2522-A5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9279603063315709E-2"/>
                  <c:y val="0.116532511358158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SV_cycle!$E$6:$E$11</c:f>
              <c:numCache>
                <c:formatCode>0.0%</c:formatCode>
                <c:ptCount val="6"/>
                <c:pt idx="0">
                  <c:v>0.27088607594936709</c:v>
                </c:pt>
                <c:pt idx="1">
                  <c:v>0.22531645569620254</c:v>
                </c:pt>
                <c:pt idx="2">
                  <c:v>0.21518987341772153</c:v>
                </c:pt>
                <c:pt idx="3">
                  <c:v>0.21518987341772153</c:v>
                </c:pt>
                <c:pt idx="4">
                  <c:v>5.3797468354430382E-2</c:v>
                </c:pt>
                <c:pt idx="5">
                  <c:v>0</c:v>
                </c:pt>
              </c:numCache>
            </c:numRef>
          </c:xVal>
          <c:yVal>
            <c:numRef>
              <c:f>SV_cycle!$O$6:$O$11</c:f>
              <c:numCache>
                <c:formatCode>General</c:formatCode>
                <c:ptCount val="6"/>
                <c:pt idx="0">
                  <c:v>95</c:v>
                </c:pt>
                <c:pt idx="1">
                  <c:v>85</c:v>
                </c:pt>
                <c:pt idx="2">
                  <c:v>74</c:v>
                </c:pt>
                <c:pt idx="3">
                  <c:v>62</c:v>
                </c:pt>
                <c:pt idx="4">
                  <c:v>47</c:v>
                </c:pt>
                <c:pt idx="5">
                  <c:v>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945-4F6B-9212-E7A56210477A}"/>
            </c:ext>
          </c:extLst>
        </c:ser>
        <c:ser>
          <c:idx val="1"/>
          <c:order val="2"/>
          <c:tx>
            <c:strRef>
              <c:f>SV_cycle!$A$12</c:f>
              <c:strCache>
                <c:ptCount val="1"/>
                <c:pt idx="0">
                  <c:v>CFM56-5B3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SV_cycle!$E$12:$E$20</c:f>
              <c:numCache>
                <c:formatCode>0.0%</c:formatCode>
                <c:ptCount val="9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0.15625</c:v>
                </c:pt>
                <c:pt idx="4">
                  <c:v>0.15625</c:v>
                </c:pt>
                <c:pt idx="5">
                  <c:v>0.265625</c:v>
                </c:pt>
                <c:pt idx="6">
                  <c:v>0.3125</c:v>
                </c:pt>
                <c:pt idx="7">
                  <c:v>0.32500000000000001</c:v>
                </c:pt>
                <c:pt idx="8">
                  <c:v>0.27187499999999998</c:v>
                </c:pt>
              </c:numCache>
            </c:numRef>
          </c:xVal>
          <c:yVal>
            <c:numRef>
              <c:f>SV_cycle!$O$12:$O$20</c:f>
              <c:numCache>
                <c:formatCode>General</c:formatCode>
                <c:ptCount val="9"/>
                <c:pt idx="0">
                  <c:v>56</c:v>
                </c:pt>
                <c:pt idx="1">
                  <c:v>85</c:v>
                </c:pt>
                <c:pt idx="2">
                  <c:v>95</c:v>
                </c:pt>
                <c:pt idx="3">
                  <c:v>99</c:v>
                </c:pt>
                <c:pt idx="4">
                  <c:v>99</c:v>
                </c:pt>
                <c:pt idx="5">
                  <c:v>135</c:v>
                </c:pt>
                <c:pt idx="6">
                  <c:v>153</c:v>
                </c:pt>
                <c:pt idx="7">
                  <c:v>170</c:v>
                </c:pt>
                <c:pt idx="8">
                  <c:v>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945-4F6B-9212-E7A562104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477839"/>
        <c:axId val="1666473999"/>
      </c:scatterChart>
      <c:valAx>
        <c:axId val="166647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473999"/>
        <c:crosses val="autoZero"/>
        <c:crossBetween val="midCat"/>
      </c:valAx>
      <c:valAx>
        <c:axId val="166647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47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2000c</a:t>
            </a:r>
            <a:r>
              <a:rPr lang="en-US" baseline="0"/>
              <a:t> </a:t>
            </a:r>
            <a:r>
              <a:rPr lang="en-US"/>
              <a:t>EGT</a:t>
            </a:r>
            <a:r>
              <a:rPr lang="en-US" baseline="0"/>
              <a:t> Decay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SV_cycle!$A$2</c:f>
              <c:strCache>
                <c:ptCount val="1"/>
                <c:pt idx="0">
                  <c:v>CFM56-3C1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59070218962356"/>
                  <c:y val="-0.119453055381064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SV_cycle!$E$2:$E$5</c:f>
              <c:numCache>
                <c:formatCode>0.0%</c:formatCode>
                <c:ptCount val="4"/>
                <c:pt idx="0">
                  <c:v>0</c:v>
                </c:pt>
                <c:pt idx="1">
                  <c:v>6.3829787234042548E-2</c:v>
                </c:pt>
                <c:pt idx="2">
                  <c:v>0.14893617021276595</c:v>
                </c:pt>
                <c:pt idx="3">
                  <c:v>0.21276595744680851</c:v>
                </c:pt>
              </c:numCache>
            </c:numRef>
          </c:xVal>
          <c:yVal>
            <c:numRef>
              <c:f>SV_cycle!$S$2:$S$5</c:f>
              <c:numCache>
                <c:formatCode>General</c:formatCode>
                <c:ptCount val="4"/>
                <c:pt idx="0">
                  <c:v>26</c:v>
                </c:pt>
                <c:pt idx="1">
                  <c:v>52.25</c:v>
                </c:pt>
                <c:pt idx="2">
                  <c:v>118.8</c:v>
                </c:pt>
                <c:pt idx="3">
                  <c:v>123.6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80-41F0-80FD-3EAF86C57693}"/>
            </c:ext>
          </c:extLst>
        </c:ser>
        <c:ser>
          <c:idx val="2"/>
          <c:order val="1"/>
          <c:tx>
            <c:strRef>
              <c:f>SV_cycle!$A$12</c:f>
              <c:strCache>
                <c:ptCount val="1"/>
                <c:pt idx="0">
                  <c:v>CFM56-5B3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SV_cycle!$E$12:$E$20</c:f>
              <c:numCache>
                <c:formatCode>0.0%</c:formatCode>
                <c:ptCount val="9"/>
                <c:pt idx="0">
                  <c:v>0</c:v>
                </c:pt>
                <c:pt idx="1">
                  <c:v>3.125E-2</c:v>
                </c:pt>
                <c:pt idx="2">
                  <c:v>6.25E-2</c:v>
                </c:pt>
                <c:pt idx="3">
                  <c:v>0.15625</c:v>
                </c:pt>
                <c:pt idx="4">
                  <c:v>0.15625</c:v>
                </c:pt>
                <c:pt idx="5">
                  <c:v>0.265625</c:v>
                </c:pt>
                <c:pt idx="6">
                  <c:v>0.3125</c:v>
                </c:pt>
                <c:pt idx="7">
                  <c:v>0.32500000000000001</c:v>
                </c:pt>
                <c:pt idx="8">
                  <c:v>0.27187499999999998</c:v>
                </c:pt>
              </c:numCache>
            </c:numRef>
          </c:xVal>
          <c:yVal>
            <c:numRef>
              <c:f>SV_cycle!$R$12:$R$20</c:f>
              <c:numCache>
                <c:formatCode>General</c:formatCode>
                <c:ptCount val="9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380-41F0-80FD-3EAF86C57693}"/>
            </c:ext>
          </c:extLst>
        </c:ser>
        <c:ser>
          <c:idx val="1"/>
          <c:order val="2"/>
          <c:tx>
            <c:strRef>
              <c:f>SV_cycle!$A$6</c:f>
              <c:strCache>
                <c:ptCount val="1"/>
                <c:pt idx="0">
                  <c:v>V2522-A5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0078645237838422"/>
                  <c:y val="5.61024352475421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SV_cycle!$E$6:$E$11</c:f>
              <c:numCache>
                <c:formatCode>0.0%</c:formatCode>
                <c:ptCount val="6"/>
                <c:pt idx="0">
                  <c:v>0.27088607594936709</c:v>
                </c:pt>
                <c:pt idx="1">
                  <c:v>0.22531645569620254</c:v>
                </c:pt>
                <c:pt idx="2">
                  <c:v>0.21518987341772153</c:v>
                </c:pt>
                <c:pt idx="3">
                  <c:v>0.21518987341772153</c:v>
                </c:pt>
                <c:pt idx="4">
                  <c:v>5.3797468354430382E-2</c:v>
                </c:pt>
                <c:pt idx="5">
                  <c:v>0</c:v>
                </c:pt>
              </c:numCache>
            </c:numRef>
          </c:xVal>
          <c:yVal>
            <c:numRef>
              <c:f>SV_cycle!$R$6:$R$11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80-41F0-80FD-3EAF86C57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477839"/>
        <c:axId val="1666473999"/>
      </c:scatterChart>
      <c:valAx>
        <c:axId val="166647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473999"/>
        <c:crosses val="autoZero"/>
        <c:crossBetween val="midCat"/>
      </c:valAx>
      <c:valAx>
        <c:axId val="166647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477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274541</xdr:colOff>
      <xdr:row>2</xdr:row>
      <xdr:rowOff>205227</xdr:rowOff>
    </xdr:from>
    <xdr:to>
      <xdr:col>34</xdr:col>
      <xdr:colOff>576166</xdr:colOff>
      <xdr:row>20</xdr:row>
      <xdr:rowOff>17175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C899CB-3E53-4A0E-DC5F-7E912A420A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276416</xdr:colOff>
      <xdr:row>23</xdr:row>
      <xdr:rowOff>161657</xdr:rowOff>
    </xdr:from>
    <xdr:to>
      <xdr:col>35</xdr:col>
      <xdr:colOff>581216</xdr:colOff>
      <xdr:row>43</xdr:row>
      <xdr:rowOff>28843</xdr:rowOff>
    </xdr:to>
    <xdr:graphicFrame macro="">
      <xdr:nvGraphicFramePr>
        <xdr:cNvPr id="59" name="Chart 3">
          <a:extLst>
            <a:ext uri="{FF2B5EF4-FFF2-40B4-BE49-F238E27FC236}">
              <a16:creationId xmlns:a16="http://schemas.microsoft.com/office/drawing/2014/main" id="{48CD6CE0-DAF8-FEB2-B171-EB8B31A5B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117626</xdr:colOff>
      <xdr:row>41</xdr:row>
      <xdr:rowOff>69698</xdr:rowOff>
    </xdr:from>
    <xdr:to>
      <xdr:col>38</xdr:col>
      <xdr:colOff>425602</xdr:colOff>
      <xdr:row>59</xdr:row>
      <xdr:rowOff>177112</xdr:rowOff>
    </xdr:to>
    <xdr:graphicFrame macro="">
      <xdr:nvGraphicFramePr>
        <xdr:cNvPr id="120" name="Chart 4">
          <a:extLst>
            <a:ext uri="{FF2B5EF4-FFF2-40B4-BE49-F238E27FC236}">
              <a16:creationId xmlns:a16="http://schemas.microsoft.com/office/drawing/2014/main" id="{1F34B0D2-C771-EF61-332F-731298FC4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76200</xdr:colOff>
      <xdr:row>80</xdr:row>
      <xdr:rowOff>12700</xdr:rowOff>
    </xdr:from>
    <xdr:to>
      <xdr:col>31</xdr:col>
      <xdr:colOff>384175</xdr:colOff>
      <xdr:row>98</xdr:row>
      <xdr:rowOff>120650</xdr:rowOff>
    </xdr:to>
    <xdr:graphicFrame macro="">
      <xdr:nvGraphicFramePr>
        <xdr:cNvPr id="108" name="Chart 5">
          <a:extLst>
            <a:ext uri="{FF2B5EF4-FFF2-40B4-BE49-F238E27FC236}">
              <a16:creationId xmlns:a16="http://schemas.microsoft.com/office/drawing/2014/main" id="{F6091B3A-CCFE-427C-9394-C5A54AFB0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197017</xdr:colOff>
      <xdr:row>39</xdr:row>
      <xdr:rowOff>171828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D2DDCA-C62B-57D0-F483-B985421E4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45017" cy="73536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F85C56-8D8A-4764-B433-0A68A4330419}" name="Table4" displayName="Table4" ref="A2:AA37" totalsRowShown="0" headerRowDxfId="0" dataDxfId="28" headerRowBorderDxfId="29" tableBorderDxfId="30" headerRowCellStyle="Heading 3">
  <autoFilter ref="A2:AA37" xr:uid="{30F85C56-8D8A-4764-B433-0A68A4330419}"/>
  <tableColumns count="27">
    <tableColumn id="1" xr3:uid="{ED79BE05-433D-4C67-A041-2D39370DE269}" name="Engine" dataDxfId="27"/>
    <tableColumn id="2" xr3:uid="{6ED02FAD-94AB-4AEE-9959-FA87FA53C32B}" name="Family" dataDxfId="26"/>
    <tableColumn id="3" xr3:uid="{81ABE95E-9C56-4058-A5C1-66341A55A058}" name="Variant" dataDxfId="25"/>
    <tableColumn id="4" xr3:uid="{CA301173-30E8-4928-AE28-8FF18A5AFFB2}" name="AC_Type" dataDxfId="24"/>
    <tableColumn id="5" xr3:uid="{5E578F87-6531-4C0E-927B-6888DD49B299}" name="Avg FH per FEC" dataDxfId="23"/>
    <tableColumn id="6" xr3:uid="{4D4DCCCE-100E-4CE8-96C7-CDABF857852C}" name="Avg OAT_C" dataDxfId="22"/>
    <tableColumn id="7" xr3:uid="{3A85DA43-4800-4075-A3CF-573642EF2C6A}" name="Cert Date" dataDxfId="21"/>
    <tableColumn id="8" xr3:uid="{3C854C3C-C1BA-4C8F-AA28-577C57829D73}" name="Thrust (lbf)" dataDxfId="20" dataCellStyle="Comma"/>
    <tableColumn id="9" xr3:uid="{2D451E19-B562-490C-BD9A-21BDEFFE959D}" name="Derate" dataDxfId="19"/>
    <tableColumn id="10" xr3:uid="{14F02B9F-4BCC-4DDA-BD52-EE73C6D6CFC6}" name="EGTi_Margin" dataDxfId="18"/>
    <tableColumn id="11" xr3:uid="{8DACF0E3-8878-4F71-942B-A29488DC3CBE}" name="FEC_SV1" dataDxfId="17"/>
    <tableColumn id="12" xr3:uid="{964B028F-1712-4488-B55B-FFD9CD4B7B77}" name="FEC_SV2" dataDxfId="16"/>
    <tableColumn id="13" xr3:uid="{D8BE1561-8CD8-4841-A978-F55FD80026B1}" name="FEC_SV3" dataDxfId="15"/>
    <tableColumn id="14" xr3:uid="{F964F720-7BDB-45D7-8210-2A0B745A2F51}" name="dFEC_SV2" dataDxfId="14">
      <calculatedColumnFormula>L3-K3</calculatedColumnFormula>
    </tableColumn>
    <tableColumn id="15" xr3:uid="{9A6AAA72-1F27-4536-8C50-3E15A29B8E55}" name="dFEC_SV3" dataDxfId="13">
      <calculatedColumnFormula>M3-L3</calculatedColumnFormula>
    </tableColumn>
    <tableColumn id="16" xr3:uid="{494E320A-2689-4F05-B939-5989A66BD334}" name="EGT_postSV1" dataDxfId="12"/>
    <tableColumn id="17" xr3:uid="{A66D2430-5DAA-400B-93C8-962B9A163D97}" name="EGT_preSV1" dataDxfId="11"/>
    <tableColumn id="18" xr3:uid="{6557DD47-63CF-43C2-99E6-60ED8781CF58}" name="EGT_recovery" dataDxfId="10"/>
    <tableColumn id="19" xr3:uid="{B1574A0A-9426-4B94-BBBE-99FB12ED2F67}" name="r_decay" dataDxfId="9"/>
    <tableColumn id="20" xr3:uid="{7C05151B-4C82-4055-B328-FD8E267CA5DF}" name="min, max r_decay" dataDxfId="8"/>
    <tableColumn id="21" xr3:uid="{0327BABD-66D7-4E45-8D6A-DBFCE128E943}" name="dEGT_1000FEC" dataDxfId="7"/>
    <tableColumn id="22" xr3:uid="{282CA5DE-A14E-4C9D-B36E-4F68E54FACD1}" name="dEGT_2000FEC" dataDxfId="6"/>
    <tableColumn id="23" xr3:uid="{716BA16B-BF53-4E14-82E7-F9C7DE91237E}" name="SV1_cost" dataDxfId="5"/>
    <tableColumn id="24" xr3:uid="{644FFEA6-CA74-4A3E-88EC-2A40F3EA2921}" name="SV2_cost`" dataDxfId="4"/>
    <tableColumn id="25" xr3:uid="{8B32651A-84BF-4317-9284-0E0BE634EC4C}" name="SV3_cost" dataDxfId="3"/>
    <tableColumn id="26" xr3:uid="{31760C83-11C9-440D-93E0-476CF9ED7BA6}" name="SV_types" dataDxfId="2"/>
    <tableColumn id="27" xr3:uid="{45813368-C75F-4051-B7BD-2A5D2FABD6A1}" name="Data Type (1=train, 0=validate)" dataDxfId="1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4D8C2C-7996-43A3-B9E7-ABBA50B7A7F3}" name="Table1" displayName="Table1" ref="A1:G18" totalsRowShown="0" headerRowDxfId="41" dataDxfId="42">
  <autoFilter ref="A1:G18" xr:uid="{E44D8C2C-7996-43A3-B9E7-ABBA50B7A7F3}"/>
  <tableColumns count="7">
    <tableColumn id="1" xr3:uid="{CD6BB9BE-B371-421E-8081-B24F30825943}" name="Variant" dataDxfId="49"/>
    <tableColumn id="2" xr3:uid="{135B3652-CB70-4DCA-8F4F-904DEF121507}" name="2" dataDxfId="48"/>
    <tableColumn id="3" xr3:uid="{202B2F61-CB49-42D5-9F4E-C493A609AFBB}" name="3" dataDxfId="47"/>
    <tableColumn id="4" xr3:uid="{5E754C2C-6625-4105-8AB1-D6CA3DCA2840}" name="5" dataDxfId="46"/>
    <tableColumn id="5" xr3:uid="{22E4869B-14AE-43BB-84FE-B8B35603B0E2}" name="5B" dataDxfId="45"/>
    <tableColumn id="6" xr3:uid="{4B08D5F5-ACC6-4AC2-8566-517E4B3006AE}" name="5C" dataDxfId="44"/>
    <tableColumn id="7" xr3:uid="{AE097E31-6823-4A00-9F21-799EF66E83F0}" name="7B" dataDxfId="4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8C3A7E-67A7-4029-A1D5-35390C99C506}" name="Table2" displayName="Table2" ref="A21:H32" totalsRowShown="0" headerRowDxfId="32" dataDxfId="31">
  <autoFilter ref="A21:H32" xr:uid="{388C3A7E-67A7-4029-A1D5-35390C99C506}"/>
  <tableColumns count="8">
    <tableColumn id="1" xr3:uid="{D32B0F73-93C3-4C08-BDC2-2E3648B2085C}" name="Variant" dataDxfId="40"/>
    <tableColumn id="2" xr3:uid="{B120A388-D540-4D7C-846B-A67F1EA883A6}" name="Certification" dataDxfId="39"/>
    <tableColumn id="3" xr3:uid="{ED7988D8-4ABE-45A1-A114-E1ADAF463FE7}" name="Take-Off Thrust" dataDxfId="38"/>
    <tableColumn id="4" xr3:uid="{48ADCA43-A73E-4122-88CD-094D5B91AEA9}" name="Weight" dataDxfId="37"/>
    <tableColumn id="5" xr3:uid="{BDA66490-467C-4C19-9B75-4DAD286B1C91}" name="T/W" dataDxfId="36"/>
    <tableColumn id="6" xr3:uid="{6AFBC29F-6AA1-4496-9EB8-F6592BB5B88F}" name="BPR[14]" dataDxfId="35"/>
    <tableColumn id="7" xr3:uid="{1693859C-6666-43C0-817E-27CF89777E58}" name="Comp.[14]" dataDxfId="34"/>
    <tableColumn id="8" xr3:uid="{7DD7EC43-3BD5-4C73-88D7-9293CAEE4C70}" name="Application[14]" dataDxfId="3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FDB8-0139-4634-92E7-683DB926A4B4}">
  <dimension ref="A1:AN66"/>
  <sheetViews>
    <sheetView zoomScale="83" workbookViewId="0">
      <selection sqref="A1:C3"/>
    </sheetView>
  </sheetViews>
  <sheetFormatPr defaultRowHeight="14.5" x14ac:dyDescent="0.35"/>
  <cols>
    <col min="1" max="1" width="12.1796875" customWidth="1"/>
    <col min="6" max="6" width="12.1796875" customWidth="1"/>
    <col min="7" max="7" width="11.81640625" customWidth="1"/>
    <col min="8" max="8" width="13.453125" customWidth="1"/>
    <col min="14" max="15" width="16" customWidth="1"/>
    <col min="16" max="18" width="15.1796875" customWidth="1"/>
    <col min="20" max="20" width="13.81640625" customWidth="1"/>
  </cols>
  <sheetData>
    <row r="1" spans="1:40" s="4" customFormat="1" ht="25.5" customHeight="1" x14ac:dyDescent="0.35">
      <c r="A1" s="3" t="s">
        <v>0</v>
      </c>
      <c r="B1" s="4" t="s">
        <v>1</v>
      </c>
      <c r="C1" s="4" t="s">
        <v>28</v>
      </c>
      <c r="D1" s="4" t="s">
        <v>9</v>
      </c>
      <c r="E1" s="5" t="s">
        <v>10</v>
      </c>
      <c r="F1" s="6" t="s">
        <v>34</v>
      </c>
      <c r="G1" s="6" t="s">
        <v>12</v>
      </c>
      <c r="H1" s="4" t="s">
        <v>35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11</v>
      </c>
      <c r="N1" s="4" t="s">
        <v>25</v>
      </c>
      <c r="O1" s="4" t="s">
        <v>25</v>
      </c>
      <c r="P1" s="4" t="s">
        <v>26</v>
      </c>
      <c r="Q1" s="4" t="s">
        <v>26</v>
      </c>
      <c r="R1" s="4" t="s">
        <v>29</v>
      </c>
      <c r="S1" s="4" t="s">
        <v>23</v>
      </c>
      <c r="T1" s="4" t="s">
        <v>24</v>
      </c>
      <c r="U1" s="4" t="s">
        <v>27</v>
      </c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40" x14ac:dyDescent="0.35">
      <c r="A2" t="s">
        <v>30</v>
      </c>
      <c r="B2" t="s">
        <v>31</v>
      </c>
      <c r="C2">
        <v>1984</v>
      </c>
      <c r="D2">
        <v>23500</v>
      </c>
      <c r="E2" s="1">
        <v>0</v>
      </c>
      <c r="F2" s="2">
        <v>53</v>
      </c>
      <c r="G2" s="2">
        <f>F2*0.8</f>
        <v>42.400000000000006</v>
      </c>
      <c r="H2">
        <v>6000</v>
      </c>
      <c r="I2">
        <v>10800</v>
      </c>
      <c r="J2">
        <v>14900</v>
      </c>
      <c r="K2">
        <v>4800</v>
      </c>
      <c r="L2">
        <v>4100</v>
      </c>
      <c r="M2">
        <v>3</v>
      </c>
      <c r="N2">
        <v>10</v>
      </c>
      <c r="O2">
        <f>F2-N2</f>
        <v>43</v>
      </c>
      <c r="P2">
        <v>15</v>
      </c>
      <c r="Q2">
        <f>F2-P2</f>
        <v>38</v>
      </c>
      <c r="R2">
        <f>O2-Q2</f>
        <v>5</v>
      </c>
      <c r="S2">
        <f>Q2-M2*(H2-2000)/1000</f>
        <v>26</v>
      </c>
      <c r="T2" s="10">
        <f t="shared" ref="T2:T19" si="0" xml:space="preserve"> (F2-S2)/F2</f>
        <v>0.50943396226415094</v>
      </c>
      <c r="U2">
        <f>S2*0.85</f>
        <v>22.099999999999998</v>
      </c>
      <c r="V2">
        <f>G2-S2+U2</f>
        <v>38.5</v>
      </c>
    </row>
    <row r="3" spans="1:40" ht="16" customHeight="1" x14ac:dyDescent="0.35">
      <c r="A3" t="s">
        <v>30</v>
      </c>
      <c r="B3" t="s">
        <v>31</v>
      </c>
      <c r="C3">
        <v>1984</v>
      </c>
      <c r="D3">
        <v>22000</v>
      </c>
      <c r="E3" s="1">
        <f>(D$2-D3)/D$2</f>
        <v>6.3829787234042548E-2</v>
      </c>
      <c r="F3" s="2">
        <v>75</v>
      </c>
      <c r="G3" s="2">
        <f t="shared" ref="G3:G5" si="1">F3*0.8</f>
        <v>60</v>
      </c>
      <c r="H3">
        <v>6700</v>
      </c>
      <c r="I3">
        <v>12000</v>
      </c>
      <c r="J3">
        <v>16500</v>
      </c>
      <c r="K3">
        <v>5300</v>
      </c>
      <c r="L3">
        <v>4500</v>
      </c>
      <c r="M3">
        <v>2.5</v>
      </c>
      <c r="N3">
        <v>7</v>
      </c>
      <c r="O3">
        <f t="shared" ref="O3:O20" si="2">F3-N3</f>
        <v>68</v>
      </c>
      <c r="P3">
        <v>11</v>
      </c>
      <c r="Q3">
        <f t="shared" ref="Q3:Q20" si="3">F3-P3</f>
        <v>64</v>
      </c>
      <c r="R3">
        <f t="shared" ref="R3:R20" si="4">O3-Q3</f>
        <v>4</v>
      </c>
      <c r="S3">
        <f t="shared" ref="S3:S20" si="5">Q3-M3*(H3-2000)/1000</f>
        <v>52.25</v>
      </c>
      <c r="T3" s="10">
        <f t="shared" si="0"/>
        <v>0.30333333333333334</v>
      </c>
      <c r="U3">
        <f t="shared" ref="U3:U20" si="6">S3*0.85</f>
        <v>44.412500000000001</v>
      </c>
      <c r="V3">
        <f t="shared" ref="V3:V20" si="7">G3-S3+U3</f>
        <v>52.162500000000001</v>
      </c>
      <c r="W3" s="4"/>
    </row>
    <row r="4" spans="1:40" x14ac:dyDescent="0.35">
      <c r="A4" t="s">
        <v>30</v>
      </c>
      <c r="B4" t="s">
        <v>31</v>
      </c>
      <c r="C4">
        <v>1984</v>
      </c>
      <c r="D4">
        <v>20000</v>
      </c>
      <c r="E4" s="1">
        <f t="shared" ref="E4:E5" si="8">(D$2-D4)/D$2</f>
        <v>0.14893617021276595</v>
      </c>
      <c r="F4" s="2">
        <v>140</v>
      </c>
      <c r="G4" s="2">
        <f t="shared" si="1"/>
        <v>112</v>
      </c>
      <c r="H4">
        <v>7600</v>
      </c>
      <c r="I4">
        <v>13600</v>
      </c>
      <c r="J4">
        <v>18800</v>
      </c>
      <c r="K4">
        <v>6000</v>
      </c>
      <c r="L4">
        <v>5200</v>
      </c>
      <c r="M4">
        <v>2</v>
      </c>
      <c r="N4">
        <v>7</v>
      </c>
      <c r="O4">
        <f t="shared" si="2"/>
        <v>133</v>
      </c>
      <c r="P4">
        <v>10</v>
      </c>
      <c r="Q4">
        <f t="shared" si="3"/>
        <v>130</v>
      </c>
      <c r="R4">
        <f t="shared" si="4"/>
        <v>3</v>
      </c>
      <c r="S4">
        <f t="shared" si="5"/>
        <v>118.8</v>
      </c>
      <c r="T4" s="10">
        <f xml:space="preserve"> (F4-S4)/F4</f>
        <v>0.15142857142857144</v>
      </c>
      <c r="U4">
        <f t="shared" si="6"/>
        <v>100.97999999999999</v>
      </c>
      <c r="V4">
        <f t="shared" si="7"/>
        <v>94.179999999999993</v>
      </c>
    </row>
    <row r="5" spans="1:40" x14ac:dyDescent="0.35">
      <c r="A5" t="s">
        <v>30</v>
      </c>
      <c r="B5" t="s">
        <v>31</v>
      </c>
      <c r="C5">
        <v>1984</v>
      </c>
      <c r="D5">
        <v>18500</v>
      </c>
      <c r="E5" s="1">
        <f t="shared" si="8"/>
        <v>0.21276595744680851</v>
      </c>
      <c r="F5" s="2">
        <v>145</v>
      </c>
      <c r="G5" s="2">
        <f t="shared" si="1"/>
        <v>116</v>
      </c>
      <c r="H5">
        <v>8200</v>
      </c>
      <c r="I5">
        <v>14700</v>
      </c>
      <c r="J5">
        <v>20300</v>
      </c>
      <c r="K5">
        <v>6500</v>
      </c>
      <c r="L5">
        <v>5600</v>
      </c>
      <c r="M5">
        <v>2</v>
      </c>
      <c r="N5">
        <v>6</v>
      </c>
      <c r="O5">
        <f>F5-N5</f>
        <v>139</v>
      </c>
      <c r="P5">
        <v>9</v>
      </c>
      <c r="Q5">
        <f t="shared" si="3"/>
        <v>136</v>
      </c>
      <c r="R5">
        <f t="shared" si="4"/>
        <v>3</v>
      </c>
      <c r="S5">
        <f t="shared" si="5"/>
        <v>123.6</v>
      </c>
      <c r="T5" s="10">
        <f t="shared" si="0"/>
        <v>0.14758620689655177</v>
      </c>
      <c r="U5">
        <f t="shared" si="6"/>
        <v>105.05999999999999</v>
      </c>
      <c r="V5">
        <f t="shared" si="7"/>
        <v>97.46</v>
      </c>
    </row>
    <row r="6" spans="1:40" x14ac:dyDescent="0.35">
      <c r="A6" t="s">
        <v>2</v>
      </c>
      <c r="B6" t="s">
        <v>3</v>
      </c>
      <c r="C6">
        <v>1993</v>
      </c>
      <c r="D6" s="7">
        <v>23040</v>
      </c>
      <c r="E6" s="1">
        <f t="shared" ref="E6:E9" si="9">(D$11-D6)/D$11</f>
        <v>0.27088607594936709</v>
      </c>
      <c r="F6">
        <v>100</v>
      </c>
      <c r="G6">
        <v>75</v>
      </c>
      <c r="H6">
        <v>11000</v>
      </c>
      <c r="I6">
        <v>20000</v>
      </c>
      <c r="J6">
        <v>29000</v>
      </c>
      <c r="K6">
        <v>9000</v>
      </c>
      <c r="L6">
        <v>9000</v>
      </c>
      <c r="M6">
        <v>2.1</v>
      </c>
      <c r="N6">
        <v>5</v>
      </c>
      <c r="O6">
        <f t="shared" si="2"/>
        <v>95</v>
      </c>
      <c r="P6">
        <v>9</v>
      </c>
      <c r="Q6">
        <f t="shared" si="3"/>
        <v>91</v>
      </c>
      <c r="R6">
        <f t="shared" si="4"/>
        <v>4</v>
      </c>
      <c r="S6">
        <f t="shared" si="5"/>
        <v>72.099999999999994</v>
      </c>
      <c r="T6" s="10">
        <f t="shared" si="0"/>
        <v>0.27900000000000008</v>
      </c>
      <c r="U6">
        <f t="shared" si="6"/>
        <v>61.284999999999997</v>
      </c>
      <c r="V6">
        <f t="shared" si="7"/>
        <v>64.185000000000002</v>
      </c>
    </row>
    <row r="7" spans="1:40" x14ac:dyDescent="0.35">
      <c r="A7" t="s">
        <v>4</v>
      </c>
      <c r="B7" t="s">
        <v>3</v>
      </c>
      <c r="C7">
        <v>1993</v>
      </c>
      <c r="D7" s="7">
        <v>24480</v>
      </c>
      <c r="E7" s="1">
        <f t="shared" si="9"/>
        <v>0.22531645569620254</v>
      </c>
      <c r="F7">
        <v>90</v>
      </c>
      <c r="G7">
        <v>75</v>
      </c>
      <c r="H7">
        <v>11000</v>
      </c>
      <c r="I7">
        <v>20000</v>
      </c>
      <c r="J7">
        <v>29000</v>
      </c>
      <c r="K7">
        <v>9000</v>
      </c>
      <c r="L7">
        <v>9000</v>
      </c>
      <c r="M7">
        <v>2.2999999999999998</v>
      </c>
      <c r="N7">
        <v>5</v>
      </c>
      <c r="O7">
        <f t="shared" si="2"/>
        <v>85</v>
      </c>
      <c r="P7">
        <v>9</v>
      </c>
      <c r="Q7">
        <f t="shared" si="3"/>
        <v>81</v>
      </c>
      <c r="R7">
        <f t="shared" si="4"/>
        <v>4</v>
      </c>
      <c r="S7">
        <f t="shared" si="5"/>
        <v>60.3</v>
      </c>
      <c r="T7" s="10">
        <f t="shared" si="0"/>
        <v>0.33</v>
      </c>
      <c r="U7">
        <f t="shared" si="6"/>
        <v>51.254999999999995</v>
      </c>
      <c r="V7">
        <f t="shared" si="7"/>
        <v>65.954999999999998</v>
      </c>
    </row>
    <row r="8" spans="1:40" x14ac:dyDescent="0.35">
      <c r="A8" t="s">
        <v>5</v>
      </c>
      <c r="B8" t="s">
        <v>3</v>
      </c>
      <c r="C8">
        <v>1993</v>
      </c>
      <c r="D8" s="7">
        <v>24800</v>
      </c>
      <c r="E8" s="1">
        <f t="shared" si="9"/>
        <v>0.21518987341772153</v>
      </c>
      <c r="F8">
        <v>80</v>
      </c>
      <c r="G8">
        <v>65</v>
      </c>
      <c r="H8">
        <v>9000</v>
      </c>
      <c r="I8">
        <v>17000</v>
      </c>
      <c r="J8">
        <v>26000</v>
      </c>
      <c r="K8">
        <v>8000</v>
      </c>
      <c r="L8">
        <v>9000</v>
      </c>
      <c r="M8">
        <v>3</v>
      </c>
      <c r="N8">
        <v>6</v>
      </c>
      <c r="O8">
        <f t="shared" si="2"/>
        <v>74</v>
      </c>
      <c r="P8">
        <v>11</v>
      </c>
      <c r="Q8">
        <f t="shared" si="3"/>
        <v>69</v>
      </c>
      <c r="R8">
        <f t="shared" si="4"/>
        <v>5</v>
      </c>
      <c r="S8">
        <f t="shared" si="5"/>
        <v>48</v>
      </c>
      <c r="T8" s="10">
        <f t="shared" si="0"/>
        <v>0.4</v>
      </c>
      <c r="U8">
        <f t="shared" si="6"/>
        <v>40.799999999999997</v>
      </c>
      <c r="V8">
        <f t="shared" si="7"/>
        <v>57.8</v>
      </c>
    </row>
    <row r="9" spans="1:40" x14ac:dyDescent="0.35">
      <c r="A9" t="s">
        <v>6</v>
      </c>
      <c r="B9" t="s">
        <v>3</v>
      </c>
      <c r="C9">
        <v>1993</v>
      </c>
      <c r="D9" s="7">
        <v>24800</v>
      </c>
      <c r="E9" s="1">
        <f t="shared" si="9"/>
        <v>0.21518987341772153</v>
      </c>
      <c r="F9">
        <v>70</v>
      </c>
      <c r="G9">
        <v>55</v>
      </c>
      <c r="H9">
        <v>8750</v>
      </c>
      <c r="I9">
        <v>16500</v>
      </c>
      <c r="J9">
        <v>23500</v>
      </c>
      <c r="K9">
        <v>7750</v>
      </c>
      <c r="L9">
        <v>7000</v>
      </c>
      <c r="M9">
        <v>3</v>
      </c>
      <c r="N9">
        <v>8</v>
      </c>
      <c r="O9">
        <f t="shared" si="2"/>
        <v>62</v>
      </c>
      <c r="P9">
        <v>14</v>
      </c>
      <c r="Q9">
        <f t="shared" si="3"/>
        <v>56</v>
      </c>
      <c r="R9">
        <f t="shared" si="4"/>
        <v>6</v>
      </c>
      <c r="S9">
        <f t="shared" si="5"/>
        <v>35.75</v>
      </c>
      <c r="T9" s="10">
        <f t="shared" si="0"/>
        <v>0.48928571428571427</v>
      </c>
      <c r="U9">
        <f t="shared" si="6"/>
        <v>30.387499999999999</v>
      </c>
      <c r="V9">
        <f t="shared" si="7"/>
        <v>49.637500000000003</v>
      </c>
    </row>
    <row r="10" spans="1:40" x14ac:dyDescent="0.35">
      <c r="A10" t="s">
        <v>7</v>
      </c>
      <c r="B10" t="s">
        <v>3</v>
      </c>
      <c r="C10">
        <v>1993</v>
      </c>
      <c r="D10" s="7">
        <v>29900</v>
      </c>
      <c r="E10" s="1">
        <f>(D$11-D10)/D$11</f>
        <v>5.3797468354430382E-2</v>
      </c>
      <c r="F10">
        <v>55</v>
      </c>
      <c r="G10">
        <v>45</v>
      </c>
      <c r="H10">
        <v>7000</v>
      </c>
      <c r="I10">
        <v>12750</v>
      </c>
      <c r="J10">
        <v>18500</v>
      </c>
      <c r="K10">
        <v>5750</v>
      </c>
      <c r="L10">
        <v>5750</v>
      </c>
      <c r="M10">
        <v>3.5</v>
      </c>
      <c r="N10">
        <v>8</v>
      </c>
      <c r="O10">
        <f t="shared" si="2"/>
        <v>47</v>
      </c>
      <c r="P10">
        <v>14</v>
      </c>
      <c r="Q10">
        <f t="shared" si="3"/>
        <v>41</v>
      </c>
      <c r="R10">
        <f t="shared" si="4"/>
        <v>6</v>
      </c>
      <c r="S10">
        <f t="shared" si="5"/>
        <v>23.5</v>
      </c>
      <c r="T10" s="10">
        <f t="shared" si="0"/>
        <v>0.57272727272727275</v>
      </c>
      <c r="U10">
        <f t="shared" si="6"/>
        <v>19.974999999999998</v>
      </c>
      <c r="V10">
        <f t="shared" si="7"/>
        <v>41.474999999999994</v>
      </c>
    </row>
    <row r="11" spans="1:40" x14ac:dyDescent="0.35">
      <c r="A11" t="s">
        <v>8</v>
      </c>
      <c r="B11" t="s">
        <v>3</v>
      </c>
      <c r="C11">
        <v>1993</v>
      </c>
      <c r="D11" s="7">
        <v>31600</v>
      </c>
      <c r="E11" s="1">
        <v>0</v>
      </c>
      <c r="F11">
        <v>45</v>
      </c>
      <c r="G11">
        <v>35</v>
      </c>
      <c r="H11">
        <v>7000</v>
      </c>
      <c r="I11">
        <v>12750</v>
      </c>
      <c r="J11">
        <v>18500</v>
      </c>
      <c r="K11">
        <v>5750</v>
      </c>
      <c r="L11">
        <v>5750</v>
      </c>
      <c r="M11">
        <v>4.0999999999999996</v>
      </c>
      <c r="N11">
        <v>8</v>
      </c>
      <c r="O11">
        <f t="shared" si="2"/>
        <v>37</v>
      </c>
      <c r="P11">
        <v>15</v>
      </c>
      <c r="Q11">
        <f t="shared" si="3"/>
        <v>30</v>
      </c>
      <c r="R11">
        <f t="shared" si="4"/>
        <v>7</v>
      </c>
      <c r="S11">
        <f t="shared" si="5"/>
        <v>9.5</v>
      </c>
      <c r="T11" s="10">
        <f t="shared" si="0"/>
        <v>0.78888888888888886</v>
      </c>
      <c r="U11">
        <f t="shared" si="6"/>
        <v>8.0749999999999993</v>
      </c>
      <c r="V11">
        <f t="shared" si="7"/>
        <v>33.575000000000003</v>
      </c>
    </row>
    <row r="12" spans="1:40" x14ac:dyDescent="0.35">
      <c r="A12" t="s">
        <v>13</v>
      </c>
      <c r="B12" t="s">
        <v>14</v>
      </c>
      <c r="C12">
        <v>1993</v>
      </c>
      <c r="D12" s="8">
        <v>32000</v>
      </c>
      <c r="E12" s="1">
        <f>(D$12-D12)/D$12</f>
        <v>0</v>
      </c>
      <c r="F12" s="2">
        <v>66</v>
      </c>
      <c r="G12" s="2">
        <f>F12*0.8</f>
        <v>52.800000000000004</v>
      </c>
      <c r="H12">
        <v>8000</v>
      </c>
      <c r="I12">
        <v>14000</v>
      </c>
      <c r="J12">
        <v>20000</v>
      </c>
      <c r="K12">
        <v>6000</v>
      </c>
      <c r="L12">
        <v>6000</v>
      </c>
      <c r="M12" s="9">
        <v>7</v>
      </c>
      <c r="N12">
        <v>10</v>
      </c>
      <c r="O12">
        <f t="shared" si="2"/>
        <v>56</v>
      </c>
      <c r="P12">
        <v>17</v>
      </c>
      <c r="Q12">
        <f t="shared" si="3"/>
        <v>49</v>
      </c>
      <c r="R12">
        <f t="shared" si="4"/>
        <v>7</v>
      </c>
      <c r="S12">
        <f t="shared" si="5"/>
        <v>7</v>
      </c>
      <c r="T12" s="10">
        <f t="shared" si="0"/>
        <v>0.89393939393939392</v>
      </c>
      <c r="U12">
        <f t="shared" si="6"/>
        <v>5.95</v>
      </c>
      <c r="V12">
        <f t="shared" si="7"/>
        <v>51.750000000000007</v>
      </c>
    </row>
    <row r="13" spans="1:40" x14ac:dyDescent="0.35">
      <c r="A13" t="s">
        <v>15</v>
      </c>
      <c r="B13" t="s">
        <v>14</v>
      </c>
      <c r="C13">
        <v>1993</v>
      </c>
      <c r="D13" s="8">
        <v>31000</v>
      </c>
      <c r="E13" s="1">
        <f>(D$12-D13)/D$12</f>
        <v>3.125E-2</v>
      </c>
      <c r="F13" s="2">
        <v>95</v>
      </c>
      <c r="G13" s="2">
        <f>F13*0.8</f>
        <v>76</v>
      </c>
      <c r="H13">
        <v>10000</v>
      </c>
      <c r="I13">
        <v>17000</v>
      </c>
      <c r="J13">
        <v>23000</v>
      </c>
      <c r="K13">
        <v>7000</v>
      </c>
      <c r="L13">
        <v>6000</v>
      </c>
      <c r="M13" s="9">
        <v>6</v>
      </c>
      <c r="N13">
        <v>10</v>
      </c>
      <c r="O13">
        <f t="shared" si="2"/>
        <v>85</v>
      </c>
      <c r="P13">
        <v>17</v>
      </c>
      <c r="Q13">
        <f t="shared" si="3"/>
        <v>78</v>
      </c>
      <c r="R13">
        <f t="shared" si="4"/>
        <v>7</v>
      </c>
      <c r="S13">
        <f t="shared" si="5"/>
        <v>30</v>
      </c>
      <c r="T13" s="10">
        <f t="shared" si="0"/>
        <v>0.68421052631578949</v>
      </c>
      <c r="U13">
        <f t="shared" si="6"/>
        <v>25.5</v>
      </c>
      <c r="V13">
        <f t="shared" si="7"/>
        <v>71.5</v>
      </c>
    </row>
    <row r="14" spans="1:40" x14ac:dyDescent="0.35">
      <c r="A14" t="s">
        <v>16</v>
      </c>
      <c r="B14" t="s">
        <v>14</v>
      </c>
      <c r="C14">
        <v>1993</v>
      </c>
      <c r="D14" s="8">
        <v>30000</v>
      </c>
      <c r="E14" s="1">
        <f t="shared" ref="E14:E19" si="10">(D$12-D14)/D$12</f>
        <v>6.25E-2</v>
      </c>
      <c r="F14" s="2">
        <v>105</v>
      </c>
      <c r="G14">
        <v>80</v>
      </c>
      <c r="H14">
        <v>11000</v>
      </c>
      <c r="I14">
        <v>19000</v>
      </c>
      <c r="J14">
        <v>26000</v>
      </c>
      <c r="K14">
        <v>8000</v>
      </c>
      <c r="L14">
        <v>7000</v>
      </c>
      <c r="M14" s="9">
        <v>6</v>
      </c>
      <c r="N14">
        <v>10</v>
      </c>
      <c r="O14">
        <f t="shared" si="2"/>
        <v>95</v>
      </c>
      <c r="P14">
        <v>17</v>
      </c>
      <c r="Q14">
        <f t="shared" si="3"/>
        <v>88</v>
      </c>
      <c r="R14">
        <f t="shared" si="4"/>
        <v>7</v>
      </c>
      <c r="S14">
        <f t="shared" si="5"/>
        <v>34</v>
      </c>
      <c r="T14" s="10">
        <f t="shared" si="0"/>
        <v>0.67619047619047623</v>
      </c>
      <c r="U14">
        <f t="shared" si="6"/>
        <v>28.9</v>
      </c>
      <c r="V14">
        <f t="shared" si="7"/>
        <v>74.900000000000006</v>
      </c>
    </row>
    <row r="15" spans="1:40" x14ac:dyDescent="0.35">
      <c r="A15" t="s">
        <v>17</v>
      </c>
      <c r="B15" t="s">
        <v>14</v>
      </c>
      <c r="C15">
        <v>1993</v>
      </c>
      <c r="D15" s="8">
        <v>27000</v>
      </c>
      <c r="E15" s="1">
        <f t="shared" si="10"/>
        <v>0.15625</v>
      </c>
      <c r="F15" s="2">
        <v>109</v>
      </c>
      <c r="G15">
        <f>F15*0.8</f>
        <v>87.2</v>
      </c>
      <c r="H15">
        <v>18000</v>
      </c>
      <c r="I15">
        <v>28000</v>
      </c>
      <c r="J15">
        <v>36000</v>
      </c>
      <c r="K15">
        <v>10000</v>
      </c>
      <c r="L15">
        <v>8000</v>
      </c>
      <c r="M15" s="9">
        <v>4</v>
      </c>
      <c r="N15">
        <v>10</v>
      </c>
      <c r="O15">
        <f t="shared" si="2"/>
        <v>99</v>
      </c>
      <c r="P15">
        <v>17</v>
      </c>
      <c r="Q15">
        <f t="shared" si="3"/>
        <v>92</v>
      </c>
      <c r="R15">
        <f t="shared" si="4"/>
        <v>7</v>
      </c>
      <c r="S15">
        <f t="shared" si="5"/>
        <v>28</v>
      </c>
      <c r="T15" s="10">
        <f t="shared" si="0"/>
        <v>0.74311926605504586</v>
      </c>
      <c r="U15">
        <f t="shared" si="6"/>
        <v>23.8</v>
      </c>
      <c r="V15">
        <f t="shared" si="7"/>
        <v>83</v>
      </c>
    </row>
    <row r="16" spans="1:40" x14ac:dyDescent="0.35">
      <c r="A16" t="s">
        <v>18</v>
      </c>
      <c r="B16" t="s">
        <v>14</v>
      </c>
      <c r="C16">
        <v>1993</v>
      </c>
      <c r="D16" s="8">
        <v>27000</v>
      </c>
      <c r="E16" s="1">
        <f t="shared" si="10"/>
        <v>0.15625</v>
      </c>
      <c r="F16" s="2">
        <v>109</v>
      </c>
      <c r="G16">
        <f>F16*0.8</f>
        <v>87.2</v>
      </c>
      <c r="H16">
        <v>18000</v>
      </c>
      <c r="I16">
        <v>28000</v>
      </c>
      <c r="J16">
        <v>36000</v>
      </c>
      <c r="K16">
        <v>10000</v>
      </c>
      <c r="L16">
        <v>8000</v>
      </c>
      <c r="M16" s="9">
        <v>4</v>
      </c>
      <c r="N16">
        <v>10</v>
      </c>
      <c r="O16">
        <f t="shared" si="2"/>
        <v>99</v>
      </c>
      <c r="P16">
        <v>17</v>
      </c>
      <c r="Q16">
        <f t="shared" si="3"/>
        <v>92</v>
      </c>
      <c r="R16">
        <f t="shared" si="4"/>
        <v>7</v>
      </c>
      <c r="S16">
        <f t="shared" si="5"/>
        <v>28</v>
      </c>
      <c r="T16" s="10">
        <f t="shared" si="0"/>
        <v>0.74311926605504586</v>
      </c>
      <c r="U16">
        <f t="shared" si="6"/>
        <v>23.8</v>
      </c>
      <c r="V16">
        <f t="shared" si="7"/>
        <v>83</v>
      </c>
    </row>
    <row r="17" spans="1:22" x14ac:dyDescent="0.35">
      <c r="A17" t="s">
        <v>19</v>
      </c>
      <c r="B17" t="s">
        <v>14</v>
      </c>
      <c r="C17">
        <v>1993</v>
      </c>
      <c r="D17" s="8">
        <v>23500</v>
      </c>
      <c r="E17" s="1">
        <f t="shared" si="10"/>
        <v>0.265625</v>
      </c>
      <c r="F17" s="2">
        <v>145</v>
      </c>
      <c r="G17">
        <f>F17*0.78</f>
        <v>113.10000000000001</v>
      </c>
      <c r="H17">
        <v>19000</v>
      </c>
      <c r="I17">
        <v>30000</v>
      </c>
      <c r="J17">
        <v>39000</v>
      </c>
      <c r="K17">
        <v>11000</v>
      </c>
      <c r="L17">
        <v>9000</v>
      </c>
      <c r="M17" s="9">
        <v>3.5</v>
      </c>
      <c r="N17">
        <v>10</v>
      </c>
      <c r="O17">
        <f t="shared" si="2"/>
        <v>135</v>
      </c>
      <c r="P17">
        <v>17</v>
      </c>
      <c r="Q17">
        <f t="shared" si="3"/>
        <v>128</v>
      </c>
      <c r="R17">
        <f t="shared" si="4"/>
        <v>7</v>
      </c>
      <c r="S17">
        <f t="shared" si="5"/>
        <v>68.5</v>
      </c>
      <c r="T17" s="10">
        <f t="shared" si="0"/>
        <v>0.52758620689655178</v>
      </c>
      <c r="U17">
        <f t="shared" si="6"/>
        <v>58.225000000000001</v>
      </c>
      <c r="V17">
        <f t="shared" si="7"/>
        <v>102.82500000000002</v>
      </c>
    </row>
    <row r="18" spans="1:22" x14ac:dyDescent="0.35">
      <c r="A18" t="s">
        <v>20</v>
      </c>
      <c r="B18" t="s">
        <v>14</v>
      </c>
      <c r="C18">
        <v>1993</v>
      </c>
      <c r="D18" s="8">
        <v>22000</v>
      </c>
      <c r="E18" s="1">
        <f t="shared" si="10"/>
        <v>0.3125</v>
      </c>
      <c r="F18" s="2">
        <v>163</v>
      </c>
      <c r="G18">
        <f t="shared" ref="G18:G20" si="11">F18*0.78</f>
        <v>127.14</v>
      </c>
      <c r="H18">
        <v>20000</v>
      </c>
      <c r="I18">
        <v>32000</v>
      </c>
      <c r="J18">
        <v>42000</v>
      </c>
      <c r="K18">
        <v>12000</v>
      </c>
      <c r="L18">
        <v>10000</v>
      </c>
      <c r="M18" s="9">
        <v>3</v>
      </c>
      <c r="N18">
        <v>10</v>
      </c>
      <c r="O18">
        <f t="shared" si="2"/>
        <v>153</v>
      </c>
      <c r="P18">
        <v>17</v>
      </c>
      <c r="Q18">
        <f t="shared" si="3"/>
        <v>146</v>
      </c>
      <c r="R18">
        <f t="shared" si="4"/>
        <v>7</v>
      </c>
      <c r="S18">
        <f t="shared" si="5"/>
        <v>92</v>
      </c>
      <c r="T18" s="10">
        <f t="shared" si="0"/>
        <v>0.43558282208588955</v>
      </c>
      <c r="U18">
        <f t="shared" si="6"/>
        <v>78.2</v>
      </c>
      <c r="V18">
        <f t="shared" si="7"/>
        <v>113.34</v>
      </c>
    </row>
    <row r="19" spans="1:22" x14ac:dyDescent="0.35">
      <c r="A19" t="s">
        <v>21</v>
      </c>
      <c r="B19" t="s">
        <v>14</v>
      </c>
      <c r="C19">
        <v>1993</v>
      </c>
      <c r="D19" s="8">
        <v>21600</v>
      </c>
      <c r="E19" s="1">
        <f t="shared" si="10"/>
        <v>0.32500000000000001</v>
      </c>
      <c r="F19" s="2">
        <v>180</v>
      </c>
      <c r="G19">
        <f t="shared" si="11"/>
        <v>140.4</v>
      </c>
      <c r="H19">
        <v>20000</v>
      </c>
      <c r="I19">
        <v>32000</v>
      </c>
      <c r="J19">
        <v>42000</v>
      </c>
      <c r="K19">
        <v>12000</v>
      </c>
      <c r="L19">
        <v>10000</v>
      </c>
      <c r="M19" s="9">
        <v>2.8</v>
      </c>
      <c r="N19">
        <v>10</v>
      </c>
      <c r="O19">
        <f t="shared" si="2"/>
        <v>170</v>
      </c>
      <c r="P19">
        <v>17</v>
      </c>
      <c r="Q19">
        <f t="shared" si="3"/>
        <v>163</v>
      </c>
      <c r="R19">
        <f t="shared" si="4"/>
        <v>7</v>
      </c>
      <c r="S19">
        <f t="shared" si="5"/>
        <v>112.6</v>
      </c>
      <c r="T19" s="10">
        <f t="shared" si="0"/>
        <v>0.37444444444444447</v>
      </c>
      <c r="U19">
        <f t="shared" si="6"/>
        <v>95.71</v>
      </c>
      <c r="V19">
        <f t="shared" si="7"/>
        <v>123.51</v>
      </c>
    </row>
    <row r="20" spans="1:22" x14ac:dyDescent="0.35">
      <c r="A20" t="s">
        <v>22</v>
      </c>
      <c r="B20" t="s">
        <v>14</v>
      </c>
      <c r="C20">
        <v>1993</v>
      </c>
      <c r="D20" s="8">
        <v>23300</v>
      </c>
      <c r="E20" s="1">
        <f>(D$12-D20)/D$12</f>
        <v>0.27187499999999998</v>
      </c>
      <c r="F20" s="2">
        <v>145</v>
      </c>
      <c r="G20">
        <f t="shared" si="11"/>
        <v>113.10000000000001</v>
      </c>
      <c r="H20">
        <v>19000</v>
      </c>
      <c r="I20">
        <v>30000</v>
      </c>
      <c r="J20">
        <v>39000</v>
      </c>
      <c r="K20">
        <v>11000</v>
      </c>
      <c r="L20">
        <v>9000</v>
      </c>
      <c r="M20" s="9">
        <v>3.5</v>
      </c>
      <c r="N20">
        <v>10</v>
      </c>
      <c r="O20">
        <f t="shared" si="2"/>
        <v>135</v>
      </c>
      <c r="P20">
        <v>17</v>
      </c>
      <c r="Q20">
        <f t="shared" si="3"/>
        <v>128</v>
      </c>
      <c r="R20">
        <f t="shared" si="4"/>
        <v>7</v>
      </c>
      <c r="S20">
        <f t="shared" si="5"/>
        <v>68.5</v>
      </c>
      <c r="T20" s="10">
        <f t="shared" ref="T20" si="12">(F20 - (F20-S20))/F20</f>
        <v>0.47241379310344828</v>
      </c>
      <c r="U20">
        <f t="shared" si="6"/>
        <v>58.225000000000001</v>
      </c>
      <c r="V20">
        <f t="shared" si="7"/>
        <v>102.82500000000002</v>
      </c>
    </row>
    <row r="22" spans="1:22" x14ac:dyDescent="0.35">
      <c r="A22" t="s">
        <v>32</v>
      </c>
    </row>
    <row r="23" spans="1:22" x14ac:dyDescent="0.35">
      <c r="A23" s="11" t="s">
        <v>33</v>
      </c>
      <c r="B23" t="s">
        <v>40</v>
      </c>
    </row>
    <row r="24" spans="1:22" x14ac:dyDescent="0.35">
      <c r="A24" s="11" t="s">
        <v>41</v>
      </c>
    </row>
    <row r="25" spans="1:22" x14ac:dyDescent="0.35">
      <c r="A25" t="s">
        <v>42</v>
      </c>
    </row>
    <row r="26" spans="1:22" x14ac:dyDescent="0.35">
      <c r="A26" t="s">
        <v>43</v>
      </c>
    </row>
    <row r="27" spans="1:22" x14ac:dyDescent="0.35">
      <c r="A27" t="s">
        <v>44</v>
      </c>
    </row>
    <row r="28" spans="1:22" x14ac:dyDescent="0.35">
      <c r="A28" t="s">
        <v>45</v>
      </c>
    </row>
    <row r="29" spans="1:22" x14ac:dyDescent="0.35">
      <c r="A29" t="s">
        <v>46</v>
      </c>
    </row>
    <row r="30" spans="1:22" x14ac:dyDescent="0.35">
      <c r="A30" t="s">
        <v>47</v>
      </c>
    </row>
    <row r="31" spans="1:22" x14ac:dyDescent="0.35">
      <c r="A31" t="s">
        <v>48</v>
      </c>
    </row>
    <row r="32" spans="1:22" x14ac:dyDescent="0.35">
      <c r="A32" t="s">
        <v>49</v>
      </c>
    </row>
    <row r="33" spans="1:1" x14ac:dyDescent="0.35">
      <c r="A33" t="s">
        <v>50</v>
      </c>
    </row>
    <row r="34" spans="1:1" x14ac:dyDescent="0.35">
      <c r="A34" t="s">
        <v>51</v>
      </c>
    </row>
    <row r="35" spans="1:1" x14ac:dyDescent="0.35">
      <c r="A35" t="s">
        <v>52</v>
      </c>
    </row>
    <row r="36" spans="1:1" x14ac:dyDescent="0.35">
      <c r="A36" t="s">
        <v>53</v>
      </c>
    </row>
    <row r="37" spans="1:1" x14ac:dyDescent="0.35">
      <c r="A37" t="s">
        <v>194</v>
      </c>
    </row>
    <row r="38" spans="1:1" x14ac:dyDescent="0.35">
      <c r="A38" t="s">
        <v>195</v>
      </c>
    </row>
    <row r="39" spans="1:1" x14ac:dyDescent="0.35">
      <c r="A39" t="s">
        <v>185</v>
      </c>
    </row>
    <row r="40" spans="1:1" x14ac:dyDescent="0.35">
      <c r="A40" t="s">
        <v>190</v>
      </c>
    </row>
    <row r="41" spans="1:1" x14ac:dyDescent="0.35">
      <c r="A41" t="s">
        <v>211</v>
      </c>
    </row>
    <row r="42" spans="1:1" x14ac:dyDescent="0.35">
      <c r="A42" t="s">
        <v>212</v>
      </c>
    </row>
    <row r="43" spans="1:1" x14ac:dyDescent="0.35">
      <c r="A43" t="s">
        <v>213</v>
      </c>
    </row>
    <row r="44" spans="1:1" x14ac:dyDescent="0.35">
      <c r="A44" t="s">
        <v>263</v>
      </c>
    </row>
    <row r="45" spans="1:1" x14ac:dyDescent="0.35">
      <c r="A45" t="s">
        <v>264</v>
      </c>
    </row>
    <row r="46" spans="1:1" x14ac:dyDescent="0.35">
      <c r="A46" t="s">
        <v>341</v>
      </c>
    </row>
    <row r="47" spans="1:1" x14ac:dyDescent="0.35">
      <c r="A47" t="s">
        <v>342</v>
      </c>
    </row>
    <row r="48" spans="1:1" x14ac:dyDescent="0.35">
      <c r="A48" t="s">
        <v>343</v>
      </c>
    </row>
    <row r="49" spans="1:1" x14ac:dyDescent="0.35">
      <c r="A49" t="s">
        <v>344</v>
      </c>
    </row>
    <row r="50" spans="1:1" x14ac:dyDescent="0.35">
      <c r="A50" t="s">
        <v>345</v>
      </c>
    </row>
    <row r="51" spans="1:1" x14ac:dyDescent="0.35">
      <c r="A51" t="s">
        <v>346</v>
      </c>
    </row>
    <row r="52" spans="1:1" x14ac:dyDescent="0.35">
      <c r="A52" t="s">
        <v>347</v>
      </c>
    </row>
    <row r="53" spans="1:1" x14ac:dyDescent="0.35">
      <c r="A53" t="s">
        <v>348</v>
      </c>
    </row>
    <row r="54" spans="1:1" x14ac:dyDescent="0.35">
      <c r="A54" t="s">
        <v>349</v>
      </c>
    </row>
    <row r="55" spans="1:1" x14ac:dyDescent="0.35">
      <c r="A55" t="s">
        <v>350</v>
      </c>
    </row>
    <row r="56" spans="1:1" x14ac:dyDescent="0.35">
      <c r="A56" t="s">
        <v>351</v>
      </c>
    </row>
    <row r="57" spans="1:1" x14ac:dyDescent="0.35">
      <c r="A57" t="s">
        <v>352</v>
      </c>
    </row>
    <row r="58" spans="1:1" x14ac:dyDescent="0.35">
      <c r="A58" t="s">
        <v>353</v>
      </c>
    </row>
    <row r="59" spans="1:1" x14ac:dyDescent="0.35">
      <c r="A59" t="s">
        <v>354</v>
      </c>
    </row>
    <row r="60" spans="1:1" x14ac:dyDescent="0.35">
      <c r="A60" t="s">
        <v>335</v>
      </c>
    </row>
    <row r="61" spans="1:1" x14ac:dyDescent="0.35">
      <c r="A61" t="s">
        <v>336</v>
      </c>
    </row>
    <row r="62" spans="1:1" x14ac:dyDescent="0.35">
      <c r="A62" t="s">
        <v>337</v>
      </c>
    </row>
    <row r="63" spans="1:1" x14ac:dyDescent="0.35">
      <c r="A63" t="s">
        <v>338</v>
      </c>
    </row>
    <row r="64" spans="1:1" x14ac:dyDescent="0.35">
      <c r="A64" t="s">
        <v>339</v>
      </c>
    </row>
    <row r="65" spans="1:1" x14ac:dyDescent="0.35">
      <c r="A65" t="s">
        <v>266</v>
      </c>
    </row>
    <row r="66" spans="1:1" x14ac:dyDescent="0.35">
      <c r="A66" t="s">
        <v>340</v>
      </c>
    </row>
  </sheetData>
  <phoneticPr fontId="5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2DE00-80F1-4CB7-8C2C-3A96D326DC0C}">
  <dimension ref="A1:AS364"/>
  <sheetViews>
    <sheetView tabSelected="1" topLeftCell="H1" zoomScale="93" workbookViewId="0">
      <selection activeCell="U10" sqref="U10"/>
    </sheetView>
  </sheetViews>
  <sheetFormatPr defaultRowHeight="14.5" x14ac:dyDescent="0.35"/>
  <cols>
    <col min="1" max="1" width="13.36328125" customWidth="1"/>
    <col min="2" max="2" width="12.1796875" customWidth="1"/>
    <col min="3" max="3" width="9.08984375" customWidth="1"/>
    <col min="4" max="4" width="24.7265625" customWidth="1"/>
    <col min="5" max="5" width="18" customWidth="1"/>
    <col min="6" max="6" width="24.7265625" customWidth="1"/>
    <col min="7" max="7" width="10.81640625" customWidth="1"/>
    <col min="8" max="8" width="13.36328125" style="8" customWidth="1"/>
    <col min="10" max="10" width="13.7265625" customWidth="1"/>
    <col min="11" max="11" width="13.453125" customWidth="1"/>
    <col min="12" max="13" width="9.81640625" customWidth="1"/>
    <col min="14" max="15" width="11" customWidth="1"/>
    <col min="16" max="16" width="13.90625" customWidth="1"/>
    <col min="17" max="17" width="13.36328125" customWidth="1"/>
    <col min="18" max="18" width="14.54296875" customWidth="1"/>
    <col min="19" max="19" width="9.54296875" style="16" customWidth="1"/>
    <col min="20" max="20" width="17.81640625" style="16" customWidth="1"/>
    <col min="21" max="21" width="16" customWidth="1"/>
    <col min="22" max="26" width="15.1796875" customWidth="1"/>
    <col min="27" max="27" width="29.1796875" customWidth="1"/>
  </cols>
  <sheetData>
    <row r="1" spans="1:45" s="22" customFormat="1" ht="17.5" thickBot="1" x14ac:dyDescent="0.45">
      <c r="A1" s="25" t="s">
        <v>391</v>
      </c>
      <c r="B1" s="25"/>
      <c r="C1" s="25"/>
      <c r="D1" s="25" t="s">
        <v>392</v>
      </c>
      <c r="E1" s="25"/>
      <c r="F1" s="25"/>
      <c r="G1" s="25"/>
      <c r="H1" s="26" t="s">
        <v>393</v>
      </c>
      <c r="I1" s="26"/>
      <c r="J1" s="26"/>
      <c r="K1" s="25" t="s">
        <v>394</v>
      </c>
      <c r="L1" s="25"/>
      <c r="M1" s="25"/>
      <c r="N1" s="25"/>
      <c r="O1" s="25"/>
      <c r="P1" s="25" t="s">
        <v>395</v>
      </c>
      <c r="Q1" s="25"/>
      <c r="R1" s="25"/>
      <c r="S1" s="25"/>
      <c r="T1" s="25"/>
      <c r="U1" s="25"/>
      <c r="V1" s="25"/>
      <c r="W1" s="25" t="s">
        <v>396</v>
      </c>
      <c r="X1" s="25"/>
      <c r="Y1" s="25"/>
      <c r="Z1" s="25"/>
      <c r="AA1" s="27"/>
      <c r="AB1" s="27"/>
      <c r="AC1" s="21"/>
      <c r="AD1" s="21"/>
      <c r="AE1" s="21"/>
      <c r="AF1" s="21"/>
    </row>
    <row r="2" spans="1:45" s="23" customFormat="1" ht="30" customHeight="1" thickTop="1" thickBot="1" x14ac:dyDescent="0.4">
      <c r="A2" s="28" t="s">
        <v>0</v>
      </c>
      <c r="B2" s="28" t="s">
        <v>365</v>
      </c>
      <c r="C2" s="29" t="s">
        <v>1</v>
      </c>
      <c r="D2" s="29" t="s">
        <v>359</v>
      </c>
      <c r="E2" s="29" t="s">
        <v>379</v>
      </c>
      <c r="F2" s="29" t="s">
        <v>386</v>
      </c>
      <c r="G2" s="29" t="s">
        <v>360</v>
      </c>
      <c r="H2" s="30" t="s">
        <v>358</v>
      </c>
      <c r="I2" s="31" t="s">
        <v>10</v>
      </c>
      <c r="J2" s="32" t="s">
        <v>34</v>
      </c>
      <c r="K2" s="29" t="s">
        <v>35</v>
      </c>
      <c r="L2" s="29" t="s">
        <v>36</v>
      </c>
      <c r="M2" s="29" t="s">
        <v>37</v>
      </c>
      <c r="N2" s="29" t="s">
        <v>38</v>
      </c>
      <c r="O2" s="29" t="s">
        <v>39</v>
      </c>
      <c r="P2" s="29" t="s">
        <v>363</v>
      </c>
      <c r="Q2" s="42" t="s">
        <v>362</v>
      </c>
      <c r="R2" s="42" t="s">
        <v>400</v>
      </c>
      <c r="S2" s="29" t="s">
        <v>355</v>
      </c>
      <c r="T2" s="29" t="s">
        <v>397</v>
      </c>
      <c r="U2" s="29" t="s">
        <v>356</v>
      </c>
      <c r="V2" s="29" t="s">
        <v>357</v>
      </c>
      <c r="W2" s="29" t="s">
        <v>388</v>
      </c>
      <c r="X2" s="29" t="s">
        <v>389</v>
      </c>
      <c r="Y2" s="29" t="s">
        <v>390</v>
      </c>
      <c r="Z2" s="29" t="s">
        <v>387</v>
      </c>
      <c r="AA2" s="29" t="s">
        <v>367</v>
      </c>
      <c r="AB2" s="29" t="s">
        <v>361</v>
      </c>
      <c r="AE2" s="23" t="s">
        <v>383</v>
      </c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</row>
    <row r="3" spans="1:45" x14ac:dyDescent="0.35">
      <c r="A3" s="33" t="s">
        <v>30</v>
      </c>
      <c r="B3" s="33" t="s">
        <v>366</v>
      </c>
      <c r="C3" s="33">
        <v>3</v>
      </c>
      <c r="D3" s="33" t="s">
        <v>368</v>
      </c>
      <c r="E3" s="33">
        <v>1.4</v>
      </c>
      <c r="F3" s="33">
        <v>20</v>
      </c>
      <c r="G3" s="33">
        <v>1986</v>
      </c>
      <c r="H3" s="34">
        <v>23500</v>
      </c>
      <c r="I3" s="35">
        <v>0</v>
      </c>
      <c r="J3" s="36">
        <v>77</v>
      </c>
      <c r="K3" s="33">
        <v>7000</v>
      </c>
      <c r="L3" s="33">
        <v>12000</v>
      </c>
      <c r="M3" s="33">
        <v>17000</v>
      </c>
      <c r="N3" s="33">
        <f>L3-K3</f>
        <v>5000</v>
      </c>
      <c r="O3" s="33">
        <f>M3-L3</f>
        <v>5000</v>
      </c>
      <c r="P3" s="33">
        <v>62</v>
      </c>
      <c r="Q3" s="37">
        <f>(J3-V3-(K3-2000)/1000*S3)</f>
        <v>39</v>
      </c>
      <c r="R3" s="37">
        <f>P3-Q3</f>
        <v>23</v>
      </c>
      <c r="S3" s="33">
        <v>4</v>
      </c>
      <c r="T3" s="33"/>
      <c r="U3" s="33">
        <v>12</v>
      </c>
      <c r="V3" s="33">
        <v>18</v>
      </c>
      <c r="W3" s="33">
        <v>860000</v>
      </c>
      <c r="X3" s="33">
        <v>860000</v>
      </c>
      <c r="Y3" s="33">
        <v>900000</v>
      </c>
      <c r="Z3" s="33"/>
      <c r="AA3" s="33"/>
      <c r="AB3" s="33"/>
      <c r="AC3" s="20"/>
      <c r="AD3" s="20"/>
      <c r="AE3" s="20" t="s">
        <v>384</v>
      </c>
      <c r="AF3" s="20"/>
    </row>
    <row r="4" spans="1:45" ht="16" customHeight="1" x14ac:dyDescent="0.35">
      <c r="A4" s="33" t="s">
        <v>30</v>
      </c>
      <c r="B4" s="33" t="s">
        <v>366</v>
      </c>
      <c r="C4" s="33">
        <v>3</v>
      </c>
      <c r="D4" s="33" t="s">
        <v>368</v>
      </c>
      <c r="E4" s="33">
        <v>1.4</v>
      </c>
      <c r="F4" s="33">
        <v>20</v>
      </c>
      <c r="G4" s="33">
        <v>1986</v>
      </c>
      <c r="H4" s="34">
        <v>22000</v>
      </c>
      <c r="I4" s="35">
        <f>(H$3-H4)/H$3</f>
        <v>6.3829787234042548E-2</v>
      </c>
      <c r="J4" s="36">
        <v>97</v>
      </c>
      <c r="K4" s="33">
        <v>10000</v>
      </c>
      <c r="L4" s="33">
        <v>17500</v>
      </c>
      <c r="M4" s="33">
        <v>24000</v>
      </c>
      <c r="N4" s="33">
        <f t="shared" ref="N4:N37" si="0">L4-K4</f>
        <v>7500</v>
      </c>
      <c r="O4" s="33">
        <f t="shared" ref="O4:O37" si="1">M4-L4</f>
        <v>6500</v>
      </c>
      <c r="P4" s="33">
        <v>72</v>
      </c>
      <c r="Q4" s="37">
        <f t="shared" ref="Q4:Q9" si="2">(J4-V4-(K4-2000)/1000*S4)</f>
        <v>53</v>
      </c>
      <c r="R4" s="37">
        <f t="shared" ref="R4:R9" si="3">P4-Q4</f>
        <v>19</v>
      </c>
      <c r="S4" s="33">
        <v>3.5</v>
      </c>
      <c r="T4" s="33" t="s">
        <v>398</v>
      </c>
      <c r="U4" s="33">
        <v>11</v>
      </c>
      <c r="V4" s="33">
        <v>16</v>
      </c>
      <c r="W4" s="33">
        <v>860000</v>
      </c>
      <c r="X4" s="33">
        <v>860000</v>
      </c>
      <c r="Y4" s="33">
        <v>1085000</v>
      </c>
      <c r="Z4" s="33"/>
      <c r="AA4" s="33"/>
      <c r="AB4" s="38"/>
      <c r="AC4" s="20"/>
      <c r="AD4" s="20"/>
      <c r="AE4" s="20" t="s">
        <v>385</v>
      </c>
      <c r="AF4" s="20"/>
    </row>
    <row r="5" spans="1:45" x14ac:dyDescent="0.35">
      <c r="A5" s="33" t="s">
        <v>30</v>
      </c>
      <c r="B5" s="33" t="s">
        <v>366</v>
      </c>
      <c r="C5" s="33">
        <v>3</v>
      </c>
      <c r="D5" s="33" t="s">
        <v>368</v>
      </c>
      <c r="E5" s="33">
        <v>1.4</v>
      </c>
      <c r="F5" s="33">
        <v>20</v>
      </c>
      <c r="G5" s="33">
        <v>1986</v>
      </c>
      <c r="H5" s="34">
        <v>20000</v>
      </c>
      <c r="I5" s="35">
        <f t="shared" ref="I5:I8" si="4">(H$3-H5)/H$3</f>
        <v>0.14893617021276595</v>
      </c>
      <c r="J5" s="36">
        <v>124</v>
      </c>
      <c r="K5" s="33">
        <v>16000</v>
      </c>
      <c r="L5" s="33">
        <v>28000</v>
      </c>
      <c r="M5" s="33">
        <v>36000</v>
      </c>
      <c r="N5" s="33">
        <f t="shared" si="0"/>
        <v>12000</v>
      </c>
      <c r="O5" s="33">
        <f t="shared" si="1"/>
        <v>8000</v>
      </c>
      <c r="P5" s="33">
        <v>112</v>
      </c>
      <c r="Q5" s="37">
        <f t="shared" si="2"/>
        <v>82</v>
      </c>
      <c r="R5" s="37">
        <f t="shared" si="3"/>
        <v>30</v>
      </c>
      <c r="S5" s="33">
        <v>2</v>
      </c>
      <c r="T5" s="33" t="s">
        <v>403</v>
      </c>
      <c r="U5" s="33">
        <v>9</v>
      </c>
      <c r="V5" s="33">
        <v>14</v>
      </c>
      <c r="W5" s="33">
        <v>1240000</v>
      </c>
      <c r="X5" s="33">
        <v>970000</v>
      </c>
      <c r="Y5" s="33">
        <v>1225000</v>
      </c>
      <c r="Z5" s="33"/>
      <c r="AA5" s="33"/>
      <c r="AB5" s="33"/>
      <c r="AC5" s="20"/>
      <c r="AD5" s="20"/>
      <c r="AE5" s="20"/>
      <c r="AF5" s="20"/>
    </row>
    <row r="6" spans="1:45" x14ac:dyDescent="0.35">
      <c r="A6" s="33" t="s">
        <v>30</v>
      </c>
      <c r="B6" s="33" t="s">
        <v>366</v>
      </c>
      <c r="C6" s="33">
        <v>3</v>
      </c>
      <c r="D6" s="33" t="s">
        <v>368</v>
      </c>
      <c r="E6" s="33">
        <v>1.4</v>
      </c>
      <c r="F6" s="33">
        <v>30</v>
      </c>
      <c r="G6" s="33">
        <v>1986</v>
      </c>
      <c r="H6" s="34">
        <v>18500</v>
      </c>
      <c r="I6" s="35">
        <f t="shared" si="4"/>
        <v>0.21276595744680851</v>
      </c>
      <c r="J6" s="36">
        <v>116</v>
      </c>
      <c r="K6" s="33">
        <v>18000</v>
      </c>
      <c r="L6" s="33">
        <v>28000</v>
      </c>
      <c r="M6" s="33">
        <v>38000</v>
      </c>
      <c r="N6" s="33">
        <f t="shared" si="0"/>
        <v>10000</v>
      </c>
      <c r="O6" s="33">
        <f t="shared" si="1"/>
        <v>10000</v>
      </c>
      <c r="P6" s="33">
        <v>90</v>
      </c>
      <c r="Q6" s="37">
        <f t="shared" si="2"/>
        <v>66</v>
      </c>
      <c r="R6" s="37">
        <f t="shared" si="3"/>
        <v>24</v>
      </c>
      <c r="S6" s="33">
        <v>2.5</v>
      </c>
      <c r="T6" s="33" t="s">
        <v>399</v>
      </c>
      <c r="U6" s="33">
        <v>6</v>
      </c>
      <c r="V6" s="33">
        <v>10</v>
      </c>
      <c r="W6" s="33"/>
      <c r="X6" s="33"/>
      <c r="Y6" s="33"/>
      <c r="Z6" s="33"/>
      <c r="AA6" s="33"/>
      <c r="AB6" s="33"/>
      <c r="AC6" s="20"/>
      <c r="AD6" s="20"/>
      <c r="AE6" s="20"/>
      <c r="AF6" s="20"/>
    </row>
    <row r="7" spans="1:45" x14ac:dyDescent="0.35">
      <c r="A7" s="39" t="s">
        <v>33</v>
      </c>
      <c r="B7" s="33" t="s">
        <v>366</v>
      </c>
      <c r="C7" s="33">
        <v>3</v>
      </c>
      <c r="D7" s="33" t="s">
        <v>369</v>
      </c>
      <c r="E7" s="33">
        <v>1.4</v>
      </c>
      <c r="F7" s="33">
        <v>30</v>
      </c>
      <c r="G7" s="33">
        <v>1984</v>
      </c>
      <c r="H7" s="34">
        <v>20000</v>
      </c>
      <c r="I7" s="35">
        <f t="shared" si="4"/>
        <v>0.14893617021276595</v>
      </c>
      <c r="J7" s="36">
        <v>92</v>
      </c>
      <c r="K7" s="33">
        <v>16000</v>
      </c>
      <c r="L7" s="33">
        <v>28000</v>
      </c>
      <c r="M7" s="33">
        <v>36000</v>
      </c>
      <c r="N7" s="33">
        <f t="shared" si="0"/>
        <v>12000</v>
      </c>
      <c r="O7" s="33">
        <f t="shared" si="1"/>
        <v>8000</v>
      </c>
      <c r="P7" s="33">
        <v>80</v>
      </c>
      <c r="Q7" s="37">
        <f t="shared" si="2"/>
        <v>43</v>
      </c>
      <c r="R7" s="37">
        <f t="shared" si="3"/>
        <v>37</v>
      </c>
      <c r="S7" s="40">
        <v>2.5</v>
      </c>
      <c r="T7" s="40" t="s">
        <v>399</v>
      </c>
      <c r="U7" s="33">
        <v>9</v>
      </c>
      <c r="V7" s="33">
        <v>14</v>
      </c>
      <c r="W7" s="33"/>
      <c r="X7" s="33"/>
      <c r="Y7" s="33"/>
      <c r="Z7" s="33"/>
      <c r="AA7" s="33"/>
      <c r="AB7" s="33"/>
      <c r="AC7" s="20"/>
      <c r="AD7" s="20"/>
      <c r="AE7" s="20"/>
      <c r="AF7" s="20"/>
    </row>
    <row r="8" spans="1:45" x14ac:dyDescent="0.35">
      <c r="A8" s="39" t="s">
        <v>41</v>
      </c>
      <c r="B8" s="33" t="s">
        <v>366</v>
      </c>
      <c r="C8" s="33">
        <v>3</v>
      </c>
      <c r="D8" s="33" t="s">
        <v>370</v>
      </c>
      <c r="E8" s="33">
        <v>1.4</v>
      </c>
      <c r="F8" s="33">
        <v>30</v>
      </c>
      <c r="G8" s="33">
        <v>1984</v>
      </c>
      <c r="H8" s="34">
        <v>22000</v>
      </c>
      <c r="I8" s="35">
        <f t="shared" si="4"/>
        <v>6.3829787234042548E-2</v>
      </c>
      <c r="J8" s="33">
        <v>65</v>
      </c>
      <c r="K8" s="33">
        <v>9000</v>
      </c>
      <c r="L8" s="33">
        <v>15000</v>
      </c>
      <c r="M8" s="33">
        <v>20000</v>
      </c>
      <c r="N8" s="33">
        <f t="shared" si="0"/>
        <v>6000</v>
      </c>
      <c r="O8" s="33">
        <f t="shared" si="1"/>
        <v>5000</v>
      </c>
      <c r="P8" s="33">
        <v>40</v>
      </c>
      <c r="Q8" s="37">
        <f>(J8-V8-(K8-2000)/1000*S8)</f>
        <v>17.5</v>
      </c>
      <c r="R8" s="37">
        <f>P8-Q8</f>
        <v>22.5</v>
      </c>
      <c r="S8" s="33">
        <v>4.5</v>
      </c>
      <c r="T8" s="33" t="s">
        <v>402</v>
      </c>
      <c r="U8" s="33">
        <v>12</v>
      </c>
      <c r="V8" s="33">
        <v>16</v>
      </c>
      <c r="W8" s="33">
        <v>860000</v>
      </c>
      <c r="X8" s="33">
        <v>860000</v>
      </c>
      <c r="Y8" s="33">
        <v>1000000</v>
      </c>
      <c r="Z8" s="33"/>
      <c r="AA8" s="33"/>
      <c r="AB8" s="33"/>
      <c r="AC8" s="20"/>
      <c r="AD8" s="20"/>
      <c r="AE8" s="20"/>
      <c r="AF8" s="20"/>
    </row>
    <row r="9" spans="1:45" x14ac:dyDescent="0.35">
      <c r="A9" s="33" t="s">
        <v>30</v>
      </c>
      <c r="B9" s="33" t="s">
        <v>366</v>
      </c>
      <c r="C9" s="33">
        <v>3</v>
      </c>
      <c r="D9" s="33" t="s">
        <v>368</v>
      </c>
      <c r="E9" s="33">
        <v>1.4</v>
      </c>
      <c r="F9" s="33">
        <v>30</v>
      </c>
      <c r="G9" s="33">
        <v>1986</v>
      </c>
      <c r="H9" s="34">
        <v>23500</v>
      </c>
      <c r="I9" s="35">
        <v>0</v>
      </c>
      <c r="J9" s="36">
        <v>45</v>
      </c>
      <c r="K9" s="33">
        <v>6500</v>
      </c>
      <c r="L9" s="33">
        <v>10500</v>
      </c>
      <c r="M9" s="33">
        <v>14500</v>
      </c>
      <c r="N9" s="33">
        <f t="shared" si="0"/>
        <v>4000</v>
      </c>
      <c r="O9" s="33">
        <f t="shared" si="1"/>
        <v>4000</v>
      </c>
      <c r="P9" s="33">
        <v>30</v>
      </c>
      <c r="Q9" s="37">
        <f>(J9-V9-(K9-2000)/1000*S9)</f>
        <v>9</v>
      </c>
      <c r="R9" s="37">
        <f t="shared" si="3"/>
        <v>21</v>
      </c>
      <c r="S9" s="33">
        <v>4</v>
      </c>
      <c r="T9" s="33"/>
      <c r="U9" s="33">
        <v>12</v>
      </c>
      <c r="V9" s="33">
        <v>18</v>
      </c>
      <c r="W9" s="33">
        <v>860000</v>
      </c>
      <c r="X9" s="33">
        <v>860000</v>
      </c>
      <c r="Y9" s="33">
        <v>900000</v>
      </c>
      <c r="Z9" s="33"/>
      <c r="AA9" s="33"/>
      <c r="AB9" s="33"/>
      <c r="AC9" s="20"/>
      <c r="AD9" s="20"/>
      <c r="AE9" s="20" t="s">
        <v>384</v>
      </c>
      <c r="AF9" s="20"/>
    </row>
    <row r="10" spans="1:45" x14ac:dyDescent="0.35">
      <c r="A10" s="33" t="s">
        <v>13</v>
      </c>
      <c r="B10" s="33" t="s">
        <v>366</v>
      </c>
      <c r="C10" s="33">
        <v>5</v>
      </c>
      <c r="D10" s="33" t="s">
        <v>177</v>
      </c>
      <c r="E10" s="33"/>
      <c r="F10" s="33"/>
      <c r="G10" s="33">
        <v>1996</v>
      </c>
      <c r="H10" s="34">
        <v>32000</v>
      </c>
      <c r="I10" s="35">
        <f>(H$10-H10)/H$10</f>
        <v>0</v>
      </c>
      <c r="J10" s="36">
        <v>66</v>
      </c>
      <c r="K10" s="33">
        <v>8000</v>
      </c>
      <c r="L10" s="33">
        <v>14000</v>
      </c>
      <c r="M10" s="33">
        <v>20000</v>
      </c>
      <c r="N10" s="33">
        <f t="shared" si="0"/>
        <v>6000</v>
      </c>
      <c r="O10" s="33">
        <f t="shared" si="1"/>
        <v>6000</v>
      </c>
      <c r="P10" s="33"/>
      <c r="Q10" s="33"/>
      <c r="R10" s="33"/>
      <c r="S10" s="41">
        <v>7</v>
      </c>
      <c r="T10" s="41"/>
      <c r="U10" s="33">
        <v>10</v>
      </c>
      <c r="V10" s="33">
        <v>17</v>
      </c>
      <c r="W10" s="33"/>
      <c r="X10" s="33"/>
      <c r="Y10" s="33"/>
      <c r="Z10" s="33"/>
      <c r="AA10" s="33"/>
      <c r="AB10" s="33"/>
      <c r="AC10" s="20"/>
      <c r="AD10" s="20"/>
      <c r="AE10" s="20"/>
      <c r="AF10" s="20"/>
    </row>
    <row r="11" spans="1:45" x14ac:dyDescent="0.35">
      <c r="A11" s="33" t="s">
        <v>15</v>
      </c>
      <c r="B11" s="33" t="s">
        <v>366</v>
      </c>
      <c r="C11" s="33">
        <v>5</v>
      </c>
      <c r="D11" s="33" t="s">
        <v>177</v>
      </c>
      <c r="E11" s="33"/>
      <c r="F11" s="33"/>
      <c r="G11" s="33">
        <v>1993</v>
      </c>
      <c r="H11" s="34">
        <v>31000</v>
      </c>
      <c r="I11" s="35">
        <f>(H$10-H11)/H$10</f>
        <v>3.125E-2</v>
      </c>
      <c r="J11" s="36">
        <v>95</v>
      </c>
      <c r="K11" s="33">
        <v>10000</v>
      </c>
      <c r="L11" s="33">
        <v>17000</v>
      </c>
      <c r="M11" s="33">
        <v>23000</v>
      </c>
      <c r="N11" s="33">
        <f t="shared" si="0"/>
        <v>7000</v>
      </c>
      <c r="O11" s="33">
        <f t="shared" si="1"/>
        <v>6000</v>
      </c>
      <c r="P11" s="33"/>
      <c r="Q11" s="33"/>
      <c r="R11" s="33"/>
      <c r="S11" s="41">
        <v>6</v>
      </c>
      <c r="T11" s="41"/>
      <c r="U11" s="33">
        <v>10</v>
      </c>
      <c r="V11" s="33">
        <v>17</v>
      </c>
      <c r="W11" s="33"/>
      <c r="X11" s="33"/>
      <c r="Y11" s="33"/>
      <c r="Z11" s="33"/>
      <c r="AA11" s="33"/>
      <c r="AB11" s="33"/>
      <c r="AC11" s="20"/>
      <c r="AD11" s="20"/>
      <c r="AE11" s="20"/>
      <c r="AF11" s="20"/>
    </row>
    <row r="12" spans="1:45" x14ac:dyDescent="0.35">
      <c r="A12" s="33" t="s">
        <v>16</v>
      </c>
      <c r="B12" s="33" t="s">
        <v>366</v>
      </c>
      <c r="C12" s="33">
        <v>5</v>
      </c>
      <c r="D12" s="33" t="s">
        <v>177</v>
      </c>
      <c r="E12" s="33"/>
      <c r="F12" s="33"/>
      <c r="G12" s="33">
        <v>1994</v>
      </c>
      <c r="H12" s="34">
        <v>30000</v>
      </c>
      <c r="I12" s="35">
        <f t="shared" ref="I12:I17" si="5">(H$10-H12)/H$10</f>
        <v>6.25E-2</v>
      </c>
      <c r="J12" s="36">
        <v>105</v>
      </c>
      <c r="K12" s="33">
        <v>11000</v>
      </c>
      <c r="L12" s="33">
        <v>19000</v>
      </c>
      <c r="M12" s="33">
        <v>26000</v>
      </c>
      <c r="N12" s="33">
        <f t="shared" si="0"/>
        <v>8000</v>
      </c>
      <c r="O12" s="33">
        <f t="shared" si="1"/>
        <v>7000</v>
      </c>
      <c r="P12" s="33"/>
      <c r="Q12" s="33"/>
      <c r="R12" s="33"/>
      <c r="S12" s="41">
        <v>6</v>
      </c>
      <c r="T12" s="41"/>
      <c r="U12" s="33">
        <v>10</v>
      </c>
      <c r="V12" s="33">
        <v>17</v>
      </c>
      <c r="W12" s="33"/>
      <c r="X12" s="33"/>
      <c r="Y12" s="33"/>
      <c r="Z12" s="33"/>
      <c r="AA12" s="33"/>
      <c r="AB12" s="33"/>
      <c r="AC12" s="20"/>
      <c r="AD12" s="20"/>
      <c r="AE12" s="20"/>
      <c r="AF12" s="20"/>
    </row>
    <row r="13" spans="1:45" x14ac:dyDescent="0.35">
      <c r="A13" s="33" t="s">
        <v>17</v>
      </c>
      <c r="B13" s="33" t="s">
        <v>366</v>
      </c>
      <c r="C13" s="33">
        <v>5</v>
      </c>
      <c r="D13" s="33" t="s">
        <v>371</v>
      </c>
      <c r="E13" s="33"/>
      <c r="F13" s="33"/>
      <c r="G13" s="33">
        <v>1999</v>
      </c>
      <c r="H13" s="34">
        <v>27000</v>
      </c>
      <c r="I13" s="35">
        <f t="shared" si="5"/>
        <v>0.15625</v>
      </c>
      <c r="J13" s="36">
        <v>109</v>
      </c>
      <c r="K13" s="33">
        <v>18000</v>
      </c>
      <c r="L13" s="33">
        <v>28000</v>
      </c>
      <c r="M13" s="33">
        <v>36000</v>
      </c>
      <c r="N13" s="33">
        <f t="shared" si="0"/>
        <v>10000</v>
      </c>
      <c r="O13" s="33">
        <f t="shared" si="1"/>
        <v>8000</v>
      </c>
      <c r="P13" s="33"/>
      <c r="Q13" s="33"/>
      <c r="R13" s="33"/>
      <c r="S13" s="41">
        <v>4</v>
      </c>
      <c r="T13" s="41"/>
      <c r="U13" s="33">
        <v>10</v>
      </c>
      <c r="V13" s="33">
        <v>17</v>
      </c>
      <c r="W13" s="33"/>
      <c r="X13" s="33"/>
      <c r="Y13" s="33"/>
      <c r="Z13" s="33"/>
      <c r="AA13" s="33"/>
      <c r="AB13" s="33"/>
      <c r="AC13" s="20"/>
      <c r="AD13" s="20"/>
      <c r="AE13" s="20"/>
      <c r="AF13" s="20"/>
    </row>
    <row r="14" spans="1:45" x14ac:dyDescent="0.35">
      <c r="A14" s="33" t="s">
        <v>18</v>
      </c>
      <c r="B14" s="33" t="s">
        <v>366</v>
      </c>
      <c r="C14" s="33">
        <v>5</v>
      </c>
      <c r="D14" s="33" t="s">
        <v>124</v>
      </c>
      <c r="E14" s="33"/>
      <c r="F14" s="33"/>
      <c r="G14" s="33">
        <v>1994</v>
      </c>
      <c r="H14" s="34">
        <v>27000</v>
      </c>
      <c r="I14" s="35">
        <f t="shared" si="5"/>
        <v>0.15625</v>
      </c>
      <c r="J14" s="36">
        <v>109</v>
      </c>
      <c r="K14" s="33">
        <v>18000</v>
      </c>
      <c r="L14" s="33">
        <v>28000</v>
      </c>
      <c r="M14" s="33">
        <v>36000</v>
      </c>
      <c r="N14" s="33">
        <f t="shared" si="0"/>
        <v>10000</v>
      </c>
      <c r="O14" s="33">
        <f t="shared" si="1"/>
        <v>8000</v>
      </c>
      <c r="P14" s="33"/>
      <c r="Q14" s="33"/>
      <c r="R14" s="33"/>
      <c r="S14" s="41">
        <v>4</v>
      </c>
      <c r="T14" s="41"/>
      <c r="U14" s="33">
        <v>10</v>
      </c>
      <c r="V14" s="33">
        <v>17</v>
      </c>
      <c r="W14" s="33"/>
      <c r="X14" s="33"/>
      <c r="Y14" s="33"/>
      <c r="Z14" s="33"/>
      <c r="AA14" s="33"/>
      <c r="AB14" s="33"/>
      <c r="AC14" s="20"/>
      <c r="AD14" s="20"/>
      <c r="AE14" s="20"/>
      <c r="AF14" s="20"/>
    </row>
    <row r="15" spans="1:45" x14ac:dyDescent="0.35">
      <c r="A15" s="33" t="s">
        <v>19</v>
      </c>
      <c r="B15" s="33" t="s">
        <v>366</v>
      </c>
      <c r="C15" s="33">
        <v>5</v>
      </c>
      <c r="D15" s="33" t="s">
        <v>372</v>
      </c>
      <c r="E15" s="33"/>
      <c r="F15" s="33"/>
      <c r="G15" s="33">
        <v>1996</v>
      </c>
      <c r="H15" s="34">
        <v>23500</v>
      </c>
      <c r="I15" s="35">
        <f t="shared" si="5"/>
        <v>0.265625</v>
      </c>
      <c r="J15" s="36">
        <v>145</v>
      </c>
      <c r="K15" s="33">
        <v>19000</v>
      </c>
      <c r="L15" s="33">
        <v>30000</v>
      </c>
      <c r="M15" s="33">
        <v>39000</v>
      </c>
      <c r="N15" s="33">
        <f t="shared" si="0"/>
        <v>11000</v>
      </c>
      <c r="O15" s="33">
        <f t="shared" si="1"/>
        <v>9000</v>
      </c>
      <c r="P15" s="33"/>
      <c r="Q15" s="33"/>
      <c r="R15" s="33"/>
      <c r="S15" s="41">
        <v>3.5</v>
      </c>
      <c r="T15" s="41"/>
      <c r="U15" s="33">
        <v>10</v>
      </c>
      <c r="V15" s="33">
        <v>17</v>
      </c>
      <c r="W15" s="33"/>
      <c r="X15" s="33"/>
      <c r="Y15" s="33"/>
      <c r="Z15" s="33"/>
      <c r="AA15" s="33"/>
      <c r="AB15" s="33"/>
      <c r="AC15" s="20"/>
      <c r="AD15" s="20"/>
      <c r="AE15" s="20"/>
      <c r="AF15" s="20"/>
    </row>
    <row r="16" spans="1:45" x14ac:dyDescent="0.35">
      <c r="A16" s="33" t="s">
        <v>20</v>
      </c>
      <c r="B16" s="33" t="s">
        <v>366</v>
      </c>
      <c r="C16" s="33">
        <v>5</v>
      </c>
      <c r="D16" s="33" t="s">
        <v>123</v>
      </c>
      <c r="E16" s="33"/>
      <c r="F16" s="33"/>
      <c r="G16" s="33">
        <v>1996</v>
      </c>
      <c r="H16" s="34">
        <v>22000</v>
      </c>
      <c r="I16" s="35">
        <f t="shared" si="5"/>
        <v>0.3125</v>
      </c>
      <c r="J16" s="36">
        <v>163</v>
      </c>
      <c r="K16" s="33">
        <v>20000</v>
      </c>
      <c r="L16" s="33">
        <v>32000</v>
      </c>
      <c r="M16" s="33">
        <v>42000</v>
      </c>
      <c r="N16" s="33">
        <f t="shared" si="0"/>
        <v>12000</v>
      </c>
      <c r="O16" s="33">
        <f t="shared" si="1"/>
        <v>10000</v>
      </c>
      <c r="P16" s="33"/>
      <c r="Q16" s="33"/>
      <c r="R16" s="33"/>
      <c r="S16" s="41">
        <v>3</v>
      </c>
      <c r="T16" s="41"/>
      <c r="U16" s="33">
        <v>10</v>
      </c>
      <c r="V16" s="33">
        <v>17</v>
      </c>
      <c r="W16" s="33"/>
      <c r="X16" s="33"/>
      <c r="Y16" s="33"/>
      <c r="Z16" s="33"/>
      <c r="AA16" s="33"/>
      <c r="AB16" s="33"/>
      <c r="AC16" s="20"/>
      <c r="AD16" s="20"/>
      <c r="AE16" s="20"/>
      <c r="AF16" s="20"/>
    </row>
    <row r="17" spans="1:32" x14ac:dyDescent="0.35">
      <c r="A17" s="33" t="s">
        <v>21</v>
      </c>
      <c r="B17" s="33" t="s">
        <v>366</v>
      </c>
      <c r="C17" s="33">
        <v>5</v>
      </c>
      <c r="D17" s="33" t="s">
        <v>373</v>
      </c>
      <c r="E17" s="33"/>
      <c r="F17" s="33"/>
      <c r="G17" s="33">
        <v>2001</v>
      </c>
      <c r="H17" s="34">
        <v>21600</v>
      </c>
      <c r="I17" s="35">
        <f t="shared" si="5"/>
        <v>0.32500000000000001</v>
      </c>
      <c r="J17" s="36">
        <v>180</v>
      </c>
      <c r="K17" s="33">
        <v>20000</v>
      </c>
      <c r="L17" s="33">
        <v>32000</v>
      </c>
      <c r="M17" s="33">
        <v>42000</v>
      </c>
      <c r="N17" s="33">
        <f t="shared" si="0"/>
        <v>12000</v>
      </c>
      <c r="O17" s="33">
        <f t="shared" si="1"/>
        <v>10000</v>
      </c>
      <c r="P17" s="33"/>
      <c r="Q17" s="33"/>
      <c r="R17" s="33"/>
      <c r="S17" s="41">
        <v>2.8</v>
      </c>
      <c r="T17" s="41"/>
      <c r="U17" s="33">
        <v>10</v>
      </c>
      <c r="V17" s="33">
        <v>17</v>
      </c>
      <c r="W17" s="33"/>
      <c r="X17" s="33"/>
      <c r="Y17" s="33"/>
      <c r="Z17" s="33"/>
      <c r="AA17" s="33"/>
      <c r="AB17" s="33"/>
      <c r="AC17" s="20"/>
      <c r="AD17" s="20"/>
      <c r="AE17" s="20"/>
      <c r="AF17" s="20"/>
    </row>
    <row r="18" spans="1:32" x14ac:dyDescent="0.35">
      <c r="A18" s="33" t="s">
        <v>22</v>
      </c>
      <c r="B18" s="33" t="s">
        <v>366</v>
      </c>
      <c r="C18" s="33">
        <v>5</v>
      </c>
      <c r="D18" s="33" t="s">
        <v>373</v>
      </c>
      <c r="E18" s="33"/>
      <c r="F18" s="33"/>
      <c r="G18" s="33">
        <v>2001</v>
      </c>
      <c r="H18" s="34">
        <v>23300</v>
      </c>
      <c r="I18" s="35">
        <f>(H$10-H18)/H$10</f>
        <v>0.27187499999999998</v>
      </c>
      <c r="J18" s="36">
        <v>145</v>
      </c>
      <c r="K18" s="33">
        <v>19000</v>
      </c>
      <c r="L18" s="33">
        <v>30000</v>
      </c>
      <c r="M18" s="33">
        <v>39000</v>
      </c>
      <c r="N18" s="33">
        <f t="shared" si="0"/>
        <v>11000</v>
      </c>
      <c r="O18" s="33">
        <f t="shared" si="1"/>
        <v>9000</v>
      </c>
      <c r="P18" s="33"/>
      <c r="Q18" s="33"/>
      <c r="R18" s="33"/>
      <c r="S18" s="41">
        <v>3.5</v>
      </c>
      <c r="T18" s="41"/>
      <c r="U18" s="33">
        <v>10</v>
      </c>
      <c r="V18" s="33">
        <v>17</v>
      </c>
      <c r="W18" s="33"/>
      <c r="X18" s="33"/>
      <c r="Y18" s="33"/>
      <c r="Z18" s="33"/>
      <c r="AA18" s="33"/>
      <c r="AB18" s="33"/>
      <c r="AC18" s="20"/>
      <c r="AD18" s="20"/>
      <c r="AE18" s="20"/>
      <c r="AF18" s="20"/>
    </row>
    <row r="19" spans="1:32" x14ac:dyDescent="0.35">
      <c r="A19" s="33" t="s">
        <v>45</v>
      </c>
      <c r="B19" s="33" t="s">
        <v>366</v>
      </c>
      <c r="C19" s="33">
        <v>5</v>
      </c>
      <c r="D19" s="33" t="s">
        <v>374</v>
      </c>
      <c r="E19" s="33" t="s">
        <v>380</v>
      </c>
      <c r="F19" s="33"/>
      <c r="G19" s="33">
        <v>1991</v>
      </c>
      <c r="H19" s="34">
        <v>31200</v>
      </c>
      <c r="I19" s="33"/>
      <c r="J19" s="33"/>
      <c r="K19" s="33"/>
      <c r="L19" s="33"/>
      <c r="M19" s="33"/>
      <c r="N19" s="33">
        <f t="shared" si="0"/>
        <v>0</v>
      </c>
      <c r="O19" s="33">
        <f t="shared" si="1"/>
        <v>0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20"/>
      <c r="AD19" s="20"/>
      <c r="AE19" s="20"/>
      <c r="AF19" s="20"/>
    </row>
    <row r="20" spans="1:32" x14ac:dyDescent="0.35">
      <c r="A20" s="33" t="s">
        <v>46</v>
      </c>
      <c r="B20" s="33" t="s">
        <v>366</v>
      </c>
      <c r="C20" s="33">
        <v>5</v>
      </c>
      <c r="D20" s="33" t="s">
        <v>374</v>
      </c>
      <c r="E20" s="33" t="s">
        <v>381</v>
      </c>
      <c r="F20" s="33"/>
      <c r="G20" s="33">
        <v>1993</v>
      </c>
      <c r="H20" s="34">
        <v>32500</v>
      </c>
      <c r="I20" s="33"/>
      <c r="J20" s="33"/>
      <c r="K20" s="33"/>
      <c r="L20" s="33"/>
      <c r="M20" s="33"/>
      <c r="N20" s="33">
        <f t="shared" si="0"/>
        <v>0</v>
      </c>
      <c r="O20" s="33">
        <f t="shared" si="1"/>
        <v>0</v>
      </c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20"/>
      <c r="AD20" s="20"/>
      <c r="AE20" s="20"/>
      <c r="AF20" s="20"/>
    </row>
    <row r="21" spans="1:32" x14ac:dyDescent="0.35">
      <c r="A21" s="33" t="s">
        <v>47</v>
      </c>
      <c r="B21" s="33" t="s">
        <v>366</v>
      </c>
      <c r="C21" s="33">
        <v>5</v>
      </c>
      <c r="D21" s="33" t="s">
        <v>374</v>
      </c>
      <c r="E21" s="33" t="s">
        <v>382</v>
      </c>
      <c r="F21" s="33"/>
      <c r="G21" s="33">
        <v>1994</v>
      </c>
      <c r="H21" s="34">
        <v>34000</v>
      </c>
      <c r="I21" s="33"/>
      <c r="J21" s="33"/>
      <c r="K21" s="33"/>
      <c r="L21" s="33"/>
      <c r="M21" s="33"/>
      <c r="N21" s="33">
        <f t="shared" si="0"/>
        <v>0</v>
      </c>
      <c r="O21" s="33">
        <f t="shared" si="1"/>
        <v>0</v>
      </c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20"/>
      <c r="AD21" s="20"/>
      <c r="AE21" s="20"/>
      <c r="AF21" s="20"/>
    </row>
    <row r="22" spans="1:32" x14ac:dyDescent="0.35">
      <c r="A22" s="33" t="s">
        <v>48</v>
      </c>
      <c r="B22" s="33" t="s">
        <v>366</v>
      </c>
      <c r="C22" s="33">
        <v>7</v>
      </c>
      <c r="D22" s="33" t="s">
        <v>375</v>
      </c>
      <c r="E22" s="33"/>
      <c r="F22" s="33"/>
      <c r="G22" s="33">
        <v>1996</v>
      </c>
      <c r="H22" s="34">
        <v>19500</v>
      </c>
      <c r="I22" s="33"/>
      <c r="J22" s="33"/>
      <c r="K22" s="33"/>
      <c r="L22" s="33"/>
      <c r="M22" s="33"/>
      <c r="N22" s="33">
        <f t="shared" si="0"/>
        <v>0</v>
      </c>
      <c r="O22" s="33">
        <f t="shared" si="1"/>
        <v>0</v>
      </c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20"/>
      <c r="AD22" s="20"/>
      <c r="AE22" s="20"/>
      <c r="AF22" s="20"/>
    </row>
    <row r="23" spans="1:32" x14ac:dyDescent="0.35">
      <c r="A23" s="33" t="s">
        <v>49</v>
      </c>
      <c r="B23" s="33" t="s">
        <v>366</v>
      </c>
      <c r="C23" s="33">
        <v>7</v>
      </c>
      <c r="D23" s="33" t="s">
        <v>375</v>
      </c>
      <c r="E23" s="33"/>
      <c r="F23" s="33"/>
      <c r="G23" s="33">
        <v>1996</v>
      </c>
      <c r="H23" s="34">
        <v>20600</v>
      </c>
      <c r="I23" s="33"/>
      <c r="J23" s="33"/>
      <c r="K23" s="33"/>
      <c r="L23" s="33"/>
      <c r="M23" s="33"/>
      <c r="N23" s="33">
        <f t="shared" si="0"/>
        <v>0</v>
      </c>
      <c r="O23" s="33">
        <f t="shared" si="1"/>
        <v>0</v>
      </c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20"/>
      <c r="AD23" s="20"/>
      <c r="AE23" s="20"/>
      <c r="AF23" s="20"/>
    </row>
    <row r="24" spans="1:32" x14ac:dyDescent="0.35">
      <c r="A24" s="33" t="s">
        <v>50</v>
      </c>
      <c r="B24" s="33" t="s">
        <v>366</v>
      </c>
      <c r="C24" s="33">
        <v>7</v>
      </c>
      <c r="D24" s="33" t="s">
        <v>376</v>
      </c>
      <c r="E24" s="33"/>
      <c r="F24" s="33"/>
      <c r="G24" s="33">
        <v>1996</v>
      </c>
      <c r="H24" s="34">
        <v>22700</v>
      </c>
      <c r="I24" s="33"/>
      <c r="J24" s="33"/>
      <c r="K24" s="33"/>
      <c r="L24" s="33"/>
      <c r="M24" s="33"/>
      <c r="N24" s="33">
        <f t="shared" si="0"/>
        <v>0</v>
      </c>
      <c r="O24" s="33">
        <f t="shared" si="1"/>
        <v>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20"/>
      <c r="AD24" s="20"/>
      <c r="AE24" s="20"/>
      <c r="AF24" s="20"/>
    </row>
    <row r="25" spans="1:32" x14ac:dyDescent="0.35">
      <c r="A25" s="33" t="s">
        <v>51</v>
      </c>
      <c r="B25" s="33" t="s">
        <v>366</v>
      </c>
      <c r="C25" s="33">
        <v>7</v>
      </c>
      <c r="D25" s="33" t="s">
        <v>377</v>
      </c>
      <c r="E25" s="33"/>
      <c r="F25" s="33"/>
      <c r="G25" s="33">
        <v>1996</v>
      </c>
      <c r="H25" s="34">
        <v>24200</v>
      </c>
      <c r="I25" s="33"/>
      <c r="J25" s="33"/>
      <c r="K25" s="33"/>
      <c r="L25" s="33"/>
      <c r="M25" s="33"/>
      <c r="N25" s="33">
        <f t="shared" si="0"/>
        <v>0</v>
      </c>
      <c r="O25" s="33">
        <f t="shared" si="1"/>
        <v>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20"/>
      <c r="AD25" s="20"/>
      <c r="AE25" s="20"/>
      <c r="AF25" s="20"/>
    </row>
    <row r="26" spans="1:32" x14ac:dyDescent="0.35">
      <c r="A26" s="33" t="s">
        <v>52</v>
      </c>
      <c r="B26" s="33" t="s">
        <v>366</v>
      </c>
      <c r="C26" s="33">
        <v>7</v>
      </c>
      <c r="D26" s="33" t="s">
        <v>377</v>
      </c>
      <c r="E26" s="33"/>
      <c r="F26" s="33"/>
      <c r="G26" s="33">
        <v>1996</v>
      </c>
      <c r="H26" s="34">
        <v>26300</v>
      </c>
      <c r="I26" s="33"/>
      <c r="J26" s="33"/>
      <c r="K26" s="33"/>
      <c r="L26" s="33"/>
      <c r="M26" s="33"/>
      <c r="N26" s="33">
        <f t="shared" si="0"/>
        <v>0</v>
      </c>
      <c r="O26" s="33">
        <f t="shared" si="1"/>
        <v>0</v>
      </c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20"/>
      <c r="AD26" s="20"/>
      <c r="AE26" s="20"/>
      <c r="AF26" s="20"/>
    </row>
    <row r="27" spans="1:32" x14ac:dyDescent="0.35">
      <c r="A27" s="33" t="s">
        <v>53</v>
      </c>
      <c r="B27" s="33" t="s">
        <v>366</v>
      </c>
      <c r="C27" s="33">
        <v>7</v>
      </c>
      <c r="D27" s="33" t="s">
        <v>378</v>
      </c>
      <c r="E27" s="33"/>
      <c r="F27" s="33"/>
      <c r="G27" s="33">
        <v>1996</v>
      </c>
      <c r="H27" s="34">
        <v>27300</v>
      </c>
      <c r="I27" s="33"/>
      <c r="J27" s="33"/>
      <c r="K27" s="33"/>
      <c r="L27" s="33"/>
      <c r="M27" s="33"/>
      <c r="N27" s="33">
        <f t="shared" si="0"/>
        <v>0</v>
      </c>
      <c r="O27" s="33">
        <f t="shared" si="1"/>
        <v>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20"/>
      <c r="AD27" s="20"/>
      <c r="AE27" s="20"/>
      <c r="AF27" s="20"/>
    </row>
    <row r="28" spans="1:32" x14ac:dyDescent="0.35">
      <c r="A28" s="33" t="s">
        <v>2</v>
      </c>
      <c r="B28" s="33"/>
      <c r="C28" s="33" t="s">
        <v>3</v>
      </c>
      <c r="D28" s="33"/>
      <c r="E28" s="33"/>
      <c r="F28" s="33"/>
      <c r="G28" s="33">
        <v>1993</v>
      </c>
      <c r="H28" s="34">
        <v>23040</v>
      </c>
      <c r="I28" s="35">
        <f>(H$33-H28)/H$33</f>
        <v>0.27088607594936709</v>
      </c>
      <c r="J28" s="33">
        <v>100</v>
      </c>
      <c r="K28" s="33">
        <v>11000</v>
      </c>
      <c r="L28" s="33">
        <v>20000</v>
      </c>
      <c r="M28" s="33">
        <v>29000</v>
      </c>
      <c r="N28" s="33">
        <f t="shared" si="0"/>
        <v>9000</v>
      </c>
      <c r="O28" s="33">
        <f t="shared" si="1"/>
        <v>9000</v>
      </c>
      <c r="P28" s="33"/>
      <c r="Q28" s="33"/>
      <c r="R28" s="33"/>
      <c r="S28" s="33">
        <v>2.1</v>
      </c>
      <c r="T28" s="33"/>
      <c r="U28" s="33">
        <v>5</v>
      </c>
      <c r="V28" s="33">
        <v>9</v>
      </c>
      <c r="W28" s="33"/>
      <c r="X28" s="33"/>
      <c r="Y28" s="33"/>
      <c r="Z28" s="33"/>
      <c r="AA28" s="33"/>
      <c r="AB28" s="33"/>
      <c r="AC28" s="20"/>
      <c r="AD28" s="20"/>
      <c r="AE28" s="20"/>
      <c r="AF28" s="20"/>
    </row>
    <row r="29" spans="1:32" x14ac:dyDescent="0.35">
      <c r="A29" s="33" t="s">
        <v>4</v>
      </c>
      <c r="B29" s="33"/>
      <c r="C29" s="33" t="s">
        <v>3</v>
      </c>
      <c r="D29" s="33"/>
      <c r="E29" s="33"/>
      <c r="F29" s="33"/>
      <c r="G29" s="33">
        <v>1993</v>
      </c>
      <c r="H29" s="34">
        <v>24480</v>
      </c>
      <c r="I29" s="35">
        <f t="shared" ref="I29:I33" si="6">(H$33-H29)/H$33</f>
        <v>0.22531645569620254</v>
      </c>
      <c r="J29" s="33">
        <v>90</v>
      </c>
      <c r="K29" s="33">
        <v>11000</v>
      </c>
      <c r="L29" s="33">
        <v>20000</v>
      </c>
      <c r="M29" s="33">
        <v>29000</v>
      </c>
      <c r="N29" s="33">
        <f t="shared" si="0"/>
        <v>9000</v>
      </c>
      <c r="O29" s="33">
        <f t="shared" si="1"/>
        <v>9000</v>
      </c>
      <c r="P29" s="33"/>
      <c r="Q29" s="33"/>
      <c r="R29" s="33"/>
      <c r="S29" s="33">
        <v>2.2999999999999998</v>
      </c>
      <c r="T29" s="33"/>
      <c r="U29" s="33">
        <v>5</v>
      </c>
      <c r="V29" s="33">
        <v>9</v>
      </c>
      <c r="W29" s="33"/>
      <c r="X29" s="33"/>
      <c r="Y29" s="33"/>
      <c r="Z29" s="33"/>
      <c r="AA29" s="33"/>
      <c r="AB29" s="33"/>
      <c r="AC29" s="20"/>
      <c r="AD29" s="20"/>
      <c r="AE29" s="20"/>
      <c r="AF29" s="20"/>
    </row>
    <row r="30" spans="1:32" x14ac:dyDescent="0.35">
      <c r="A30" s="33" t="s">
        <v>5</v>
      </c>
      <c r="B30" s="33"/>
      <c r="C30" s="33" t="s">
        <v>3</v>
      </c>
      <c r="D30" s="33"/>
      <c r="E30" s="33"/>
      <c r="F30" s="33"/>
      <c r="G30" s="33">
        <v>1993</v>
      </c>
      <c r="H30" s="34">
        <v>24800</v>
      </c>
      <c r="I30" s="35">
        <f t="shared" si="6"/>
        <v>0.21518987341772153</v>
      </c>
      <c r="J30" s="33">
        <v>80</v>
      </c>
      <c r="K30" s="33">
        <v>9000</v>
      </c>
      <c r="L30" s="33">
        <v>17000</v>
      </c>
      <c r="M30" s="33">
        <v>26000</v>
      </c>
      <c r="N30" s="33">
        <f t="shared" si="0"/>
        <v>8000</v>
      </c>
      <c r="O30" s="33">
        <f t="shared" si="1"/>
        <v>9000</v>
      </c>
      <c r="P30" s="33"/>
      <c r="Q30" s="33"/>
      <c r="R30" s="33"/>
      <c r="S30" s="33">
        <v>3</v>
      </c>
      <c r="T30" s="33"/>
      <c r="U30" s="33">
        <v>6</v>
      </c>
      <c r="V30" s="33">
        <v>11</v>
      </c>
      <c r="W30" s="33"/>
      <c r="X30" s="33"/>
      <c r="Y30" s="33"/>
      <c r="Z30" s="33"/>
      <c r="AA30" s="33"/>
      <c r="AB30" s="33"/>
      <c r="AC30" s="20"/>
      <c r="AD30" s="20"/>
      <c r="AE30" s="20"/>
      <c r="AF30" s="20"/>
    </row>
    <row r="31" spans="1:32" x14ac:dyDescent="0.35">
      <c r="A31" s="33" t="s">
        <v>6</v>
      </c>
      <c r="B31" s="33"/>
      <c r="C31" s="33" t="s">
        <v>3</v>
      </c>
      <c r="D31" s="33"/>
      <c r="E31" s="33"/>
      <c r="F31" s="33"/>
      <c r="G31" s="33">
        <v>1993</v>
      </c>
      <c r="H31" s="34">
        <v>24800</v>
      </c>
      <c r="I31" s="35">
        <f t="shared" si="6"/>
        <v>0.21518987341772153</v>
      </c>
      <c r="J31" s="33">
        <v>70</v>
      </c>
      <c r="K31" s="33">
        <v>8750</v>
      </c>
      <c r="L31" s="33">
        <v>16500</v>
      </c>
      <c r="M31" s="33">
        <v>23500</v>
      </c>
      <c r="N31" s="33">
        <f t="shared" si="0"/>
        <v>7750</v>
      </c>
      <c r="O31" s="33">
        <f t="shared" si="1"/>
        <v>7000</v>
      </c>
      <c r="P31" s="33"/>
      <c r="Q31" s="33"/>
      <c r="R31" s="33"/>
      <c r="S31" s="33">
        <v>3</v>
      </c>
      <c r="T31" s="33"/>
      <c r="U31" s="33">
        <v>8</v>
      </c>
      <c r="V31" s="33">
        <v>14</v>
      </c>
      <c r="W31" s="33"/>
      <c r="X31" s="33"/>
      <c r="Y31" s="33"/>
      <c r="Z31" s="33"/>
      <c r="AA31" s="33"/>
      <c r="AB31" s="33"/>
      <c r="AC31" s="20"/>
      <c r="AD31" s="20"/>
      <c r="AE31" s="20"/>
      <c r="AF31" s="20"/>
    </row>
    <row r="32" spans="1:32" x14ac:dyDescent="0.35">
      <c r="A32" s="33" t="s">
        <v>7</v>
      </c>
      <c r="B32" s="33"/>
      <c r="C32" s="33" t="s">
        <v>3</v>
      </c>
      <c r="D32" s="33"/>
      <c r="E32" s="33"/>
      <c r="F32" s="33"/>
      <c r="G32" s="33">
        <v>1993</v>
      </c>
      <c r="H32" s="34">
        <v>29900</v>
      </c>
      <c r="I32" s="35">
        <f t="shared" si="6"/>
        <v>5.3797468354430382E-2</v>
      </c>
      <c r="J32" s="33">
        <v>55</v>
      </c>
      <c r="K32" s="33">
        <v>7000</v>
      </c>
      <c r="L32" s="33">
        <v>12750</v>
      </c>
      <c r="M32" s="33">
        <v>18500</v>
      </c>
      <c r="N32" s="33">
        <f t="shared" si="0"/>
        <v>5750</v>
      </c>
      <c r="O32" s="33">
        <f t="shared" si="1"/>
        <v>5750</v>
      </c>
      <c r="P32" s="33"/>
      <c r="Q32" s="33"/>
      <c r="R32" s="33"/>
      <c r="S32" s="33">
        <v>3.5</v>
      </c>
      <c r="T32" s="33"/>
      <c r="U32" s="33">
        <v>8</v>
      </c>
      <c r="V32" s="33">
        <v>14</v>
      </c>
      <c r="W32" s="33"/>
      <c r="X32" s="33"/>
      <c r="Y32" s="33"/>
      <c r="Z32" s="33"/>
      <c r="AA32" s="33"/>
      <c r="AB32" s="33"/>
      <c r="AC32" s="20"/>
      <c r="AD32" s="20"/>
      <c r="AE32" s="20"/>
      <c r="AF32" s="20"/>
    </row>
    <row r="33" spans="1:32" x14ac:dyDescent="0.35">
      <c r="A33" s="33" t="s">
        <v>8</v>
      </c>
      <c r="B33" s="33"/>
      <c r="C33" s="33" t="s">
        <v>3</v>
      </c>
      <c r="D33" s="33"/>
      <c r="E33" s="33"/>
      <c r="F33" s="33"/>
      <c r="G33" s="33">
        <v>1993</v>
      </c>
      <c r="H33" s="34">
        <v>31600</v>
      </c>
      <c r="I33" s="35">
        <f t="shared" si="6"/>
        <v>0</v>
      </c>
      <c r="J33" s="33">
        <v>45</v>
      </c>
      <c r="K33" s="33">
        <v>7000</v>
      </c>
      <c r="L33" s="33">
        <v>12750</v>
      </c>
      <c r="M33" s="33">
        <v>18500</v>
      </c>
      <c r="N33" s="33">
        <f t="shared" si="0"/>
        <v>5750</v>
      </c>
      <c r="O33" s="33">
        <f t="shared" si="1"/>
        <v>5750</v>
      </c>
      <c r="P33" s="33"/>
      <c r="Q33" s="33"/>
      <c r="R33" s="33"/>
      <c r="S33" s="33">
        <v>4.0999999999999996</v>
      </c>
      <c r="T33" s="33"/>
      <c r="U33" s="33">
        <v>8</v>
      </c>
      <c r="V33" s="33">
        <v>15</v>
      </c>
      <c r="W33" s="33"/>
      <c r="X33" s="33"/>
      <c r="Y33" s="33"/>
      <c r="Z33" s="33"/>
      <c r="AA33" s="33"/>
      <c r="AB33" s="33"/>
      <c r="AC33" s="20"/>
      <c r="AD33" s="20"/>
      <c r="AE33" s="20"/>
      <c r="AF33" s="20"/>
    </row>
    <row r="34" spans="1:32" x14ac:dyDescent="0.35">
      <c r="A34" s="33" t="s">
        <v>194</v>
      </c>
      <c r="B34" s="33"/>
      <c r="C34" s="33"/>
      <c r="D34" s="33"/>
      <c r="E34" s="33"/>
      <c r="F34" s="33"/>
      <c r="G34" s="33"/>
      <c r="H34" s="34"/>
      <c r="I34" s="33"/>
      <c r="J34" s="33"/>
      <c r="K34" s="33"/>
      <c r="L34" s="33"/>
      <c r="M34" s="33"/>
      <c r="N34" s="33">
        <f t="shared" si="0"/>
        <v>0</v>
      </c>
      <c r="O34" s="33">
        <f t="shared" si="1"/>
        <v>0</v>
      </c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20"/>
      <c r="AD34" s="20"/>
      <c r="AE34" s="20"/>
      <c r="AF34" s="20"/>
    </row>
    <row r="35" spans="1:32" x14ac:dyDescent="0.35">
      <c r="A35" s="33" t="s">
        <v>195</v>
      </c>
      <c r="B35" s="33"/>
      <c r="C35" s="33"/>
      <c r="D35" s="33"/>
      <c r="E35" s="33"/>
      <c r="F35" s="33"/>
      <c r="G35" s="33"/>
      <c r="H35" s="34"/>
      <c r="I35" s="33"/>
      <c r="J35" s="33"/>
      <c r="K35" s="33"/>
      <c r="L35" s="33"/>
      <c r="M35" s="33"/>
      <c r="N35" s="33">
        <f t="shared" si="0"/>
        <v>0</v>
      </c>
      <c r="O35" s="33">
        <f t="shared" si="1"/>
        <v>0</v>
      </c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20"/>
      <c r="AD35" s="20"/>
      <c r="AE35" s="20"/>
      <c r="AF35" s="20"/>
    </row>
    <row r="36" spans="1:32" x14ac:dyDescent="0.35">
      <c r="A36" s="33" t="s">
        <v>185</v>
      </c>
      <c r="B36" s="33"/>
      <c r="C36" s="33"/>
      <c r="D36" s="33"/>
      <c r="E36" s="33"/>
      <c r="F36" s="33"/>
      <c r="G36" s="33"/>
      <c r="H36" s="34"/>
      <c r="I36" s="33"/>
      <c r="J36" s="33"/>
      <c r="K36" s="33"/>
      <c r="L36" s="33"/>
      <c r="M36" s="33"/>
      <c r="N36" s="33">
        <f t="shared" si="0"/>
        <v>0</v>
      </c>
      <c r="O36" s="33">
        <f t="shared" si="1"/>
        <v>0</v>
      </c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20"/>
      <c r="AD36" s="20"/>
      <c r="AE36" s="20"/>
      <c r="AF36" s="20"/>
    </row>
    <row r="37" spans="1:32" x14ac:dyDescent="0.35">
      <c r="A37" s="33" t="s">
        <v>190</v>
      </c>
      <c r="B37" s="33"/>
      <c r="C37" s="33"/>
      <c r="D37" s="33"/>
      <c r="E37" s="33"/>
      <c r="F37" s="33"/>
      <c r="G37" s="33"/>
      <c r="H37" s="34"/>
      <c r="I37" s="33"/>
      <c r="J37" s="33"/>
      <c r="K37" s="33"/>
      <c r="L37" s="33"/>
      <c r="M37" s="33"/>
      <c r="N37" s="33">
        <f t="shared" si="0"/>
        <v>0</v>
      </c>
      <c r="O37" s="33">
        <f t="shared" si="1"/>
        <v>0</v>
      </c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20"/>
      <c r="AD37" s="20"/>
      <c r="AE37" s="20"/>
      <c r="AF37" s="20"/>
    </row>
    <row r="38" spans="1:32" x14ac:dyDescent="0.35">
      <c r="B38" s="20"/>
      <c r="C38" s="20"/>
      <c r="D38" s="20"/>
      <c r="E38" s="20"/>
      <c r="F38" s="20"/>
      <c r="G38" s="20"/>
      <c r="H38" s="19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</row>
    <row r="39" spans="1:32" x14ac:dyDescent="0.35">
      <c r="B39" s="20"/>
      <c r="C39" s="20"/>
      <c r="D39" s="20"/>
      <c r="E39" s="20"/>
      <c r="F39" s="20"/>
      <c r="G39" s="20"/>
      <c r="H39" s="19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</row>
    <row r="40" spans="1:32" x14ac:dyDescent="0.35">
      <c r="B40" s="20"/>
      <c r="C40" s="20"/>
      <c r="D40" s="20"/>
      <c r="E40" s="20"/>
      <c r="F40" s="20"/>
      <c r="G40" s="20"/>
      <c r="H40" s="19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</row>
    <row r="41" spans="1:32" x14ac:dyDescent="0.35">
      <c r="B41" s="20"/>
      <c r="C41" s="20"/>
      <c r="D41" s="20"/>
      <c r="E41" s="20"/>
      <c r="F41" s="20"/>
      <c r="G41" s="20"/>
      <c r="H41" s="19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</row>
    <row r="42" spans="1:32" x14ac:dyDescent="0.35">
      <c r="B42" s="20"/>
      <c r="C42" s="20"/>
      <c r="D42" s="20"/>
      <c r="E42" s="20"/>
      <c r="F42" s="20"/>
      <c r="G42" s="20"/>
      <c r="H42" s="19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</row>
    <row r="43" spans="1:32" x14ac:dyDescent="0.35">
      <c r="B43" s="20"/>
      <c r="C43" s="20"/>
      <c r="D43" s="20"/>
      <c r="E43" s="20"/>
      <c r="F43" s="20"/>
      <c r="G43" s="20"/>
      <c r="H43" s="19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</row>
    <row r="44" spans="1:32" x14ac:dyDescent="0.35">
      <c r="B44" s="20"/>
      <c r="C44" s="20"/>
      <c r="D44" s="20"/>
      <c r="E44" s="20"/>
      <c r="F44" s="20"/>
      <c r="G44" s="20"/>
      <c r="H44" s="19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</row>
    <row r="45" spans="1:32" x14ac:dyDescent="0.35">
      <c r="B45" s="20"/>
      <c r="C45" s="20"/>
      <c r="D45" s="20"/>
      <c r="E45" s="20"/>
      <c r="F45" s="20"/>
      <c r="G45" s="20"/>
      <c r="H45" s="19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</row>
    <row r="46" spans="1:32" x14ac:dyDescent="0.35">
      <c r="B46" s="20"/>
      <c r="C46" s="20"/>
      <c r="D46" s="20"/>
      <c r="E46" s="20"/>
      <c r="F46" s="20"/>
      <c r="G46" s="20"/>
      <c r="H46" s="19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</row>
    <row r="47" spans="1:32" x14ac:dyDescent="0.35">
      <c r="B47" s="20"/>
      <c r="C47" s="20"/>
      <c r="D47" s="20"/>
      <c r="E47" s="20"/>
      <c r="F47" s="20"/>
      <c r="G47" s="20"/>
      <c r="H47" s="19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</row>
    <row r="48" spans="1:32" x14ac:dyDescent="0.35">
      <c r="B48" s="20"/>
      <c r="C48" s="20"/>
      <c r="D48" s="20"/>
      <c r="E48" s="20"/>
      <c r="F48" s="20"/>
      <c r="G48" s="20"/>
      <c r="H48" s="19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 spans="1:32" x14ac:dyDescent="0.35">
      <c r="A49" t="s">
        <v>401</v>
      </c>
      <c r="B49" s="20"/>
      <c r="C49" s="20"/>
      <c r="D49" s="20"/>
      <c r="E49" s="20"/>
      <c r="F49" s="20"/>
      <c r="G49" s="20"/>
      <c r="H49" s="19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</row>
    <row r="50" spans="1:32" x14ac:dyDescent="0.35">
      <c r="A50" s="20" t="s">
        <v>263</v>
      </c>
      <c r="B50" s="20"/>
      <c r="C50" s="20"/>
      <c r="D50" s="20"/>
      <c r="E50" s="20"/>
      <c r="F50" s="20"/>
      <c r="G50" s="20"/>
      <c r="H50" s="19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  <row r="51" spans="1:32" x14ac:dyDescent="0.35">
      <c r="A51" s="20" t="s">
        <v>264</v>
      </c>
      <c r="B51" s="20"/>
      <c r="C51" s="20"/>
      <c r="D51" s="20"/>
      <c r="E51" s="20"/>
      <c r="F51" s="20"/>
      <c r="G51" s="20"/>
      <c r="H51" s="19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</row>
    <row r="52" spans="1:32" x14ac:dyDescent="0.35">
      <c r="A52" s="20" t="s">
        <v>341</v>
      </c>
      <c r="B52" s="20"/>
      <c r="C52" s="20"/>
      <c r="D52" s="20"/>
      <c r="E52" s="20"/>
      <c r="F52" s="20"/>
      <c r="G52" s="20"/>
      <c r="H52" s="19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</row>
    <row r="53" spans="1:32" x14ac:dyDescent="0.35">
      <c r="A53" s="20" t="s">
        <v>342</v>
      </c>
      <c r="B53" s="20"/>
      <c r="C53" s="20"/>
      <c r="D53" s="20"/>
      <c r="E53" s="20"/>
      <c r="F53" s="20"/>
      <c r="G53" s="20"/>
      <c r="H53" s="19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</row>
    <row r="54" spans="1:32" x14ac:dyDescent="0.35">
      <c r="A54" s="20" t="s">
        <v>343</v>
      </c>
      <c r="B54" s="20"/>
      <c r="C54" s="20"/>
      <c r="D54" s="20"/>
      <c r="E54" s="20"/>
      <c r="F54" s="20"/>
      <c r="G54" s="20"/>
      <c r="H54" s="19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spans="1:32" x14ac:dyDescent="0.35">
      <c r="A55" s="20" t="s">
        <v>344</v>
      </c>
      <c r="B55" s="20"/>
      <c r="C55" s="20"/>
      <c r="D55" s="20"/>
      <c r="E55" s="20"/>
      <c r="F55" s="20"/>
      <c r="G55" s="20"/>
      <c r="H55" s="19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</row>
    <row r="56" spans="1:32" x14ac:dyDescent="0.35">
      <c r="A56" s="20" t="s">
        <v>345</v>
      </c>
      <c r="B56" s="20"/>
      <c r="C56" s="20"/>
      <c r="D56" s="20"/>
      <c r="E56" s="20"/>
      <c r="F56" s="20"/>
      <c r="G56" s="20"/>
      <c r="H56" s="19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</row>
    <row r="57" spans="1:32" x14ac:dyDescent="0.35">
      <c r="A57" s="20" t="s">
        <v>346</v>
      </c>
      <c r="B57" s="20"/>
      <c r="C57" s="20"/>
      <c r="D57" s="20"/>
      <c r="E57" s="20"/>
      <c r="F57" s="20"/>
      <c r="G57" s="20"/>
      <c r="H57" s="19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</row>
    <row r="58" spans="1:32" x14ac:dyDescent="0.35">
      <c r="A58" s="20" t="s">
        <v>347</v>
      </c>
      <c r="B58" s="20"/>
      <c r="C58" s="20"/>
      <c r="D58" s="20"/>
      <c r="E58" s="20"/>
      <c r="F58" s="20"/>
      <c r="G58" s="20"/>
      <c r="H58" s="19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</row>
    <row r="59" spans="1:32" x14ac:dyDescent="0.35">
      <c r="A59" s="20" t="s">
        <v>348</v>
      </c>
      <c r="B59" s="20"/>
      <c r="C59" s="20"/>
      <c r="D59" s="20"/>
      <c r="E59" s="20"/>
      <c r="F59" s="20"/>
      <c r="G59" s="20"/>
      <c r="H59" s="19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</row>
    <row r="60" spans="1:32" x14ac:dyDescent="0.35">
      <c r="A60" s="20" t="s">
        <v>349</v>
      </c>
      <c r="B60" s="20"/>
      <c r="C60" s="20"/>
      <c r="D60" s="20"/>
      <c r="E60" s="20"/>
      <c r="F60" s="20"/>
      <c r="G60" s="20"/>
      <c r="H60" s="19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</row>
    <row r="61" spans="1:32" x14ac:dyDescent="0.35">
      <c r="A61" s="20" t="s">
        <v>350</v>
      </c>
      <c r="B61" s="20"/>
      <c r="C61" s="20"/>
      <c r="D61" s="20"/>
      <c r="E61" s="20"/>
      <c r="F61" s="20"/>
      <c r="G61" s="20"/>
      <c r="H61" s="19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</row>
    <row r="62" spans="1:32" x14ac:dyDescent="0.35">
      <c r="A62" s="20" t="s">
        <v>351</v>
      </c>
      <c r="B62" s="20"/>
      <c r="C62" s="20"/>
      <c r="D62" s="20"/>
      <c r="E62" s="20"/>
      <c r="F62" s="20"/>
      <c r="G62" s="20"/>
      <c r="H62" s="19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</row>
    <row r="63" spans="1:32" x14ac:dyDescent="0.35">
      <c r="A63" s="20" t="s">
        <v>352</v>
      </c>
      <c r="B63" s="20"/>
      <c r="C63" s="20"/>
      <c r="D63" s="20"/>
      <c r="E63" s="20"/>
      <c r="F63" s="20"/>
      <c r="G63" s="20"/>
      <c r="H63" s="19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</row>
    <row r="64" spans="1:32" x14ac:dyDescent="0.35">
      <c r="A64" s="20" t="s">
        <v>353</v>
      </c>
      <c r="B64" s="20"/>
      <c r="C64" s="20"/>
      <c r="D64" s="20"/>
      <c r="E64" s="20"/>
      <c r="F64" s="20"/>
      <c r="G64" s="20"/>
      <c r="H64" s="19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</row>
    <row r="65" spans="1:32" x14ac:dyDescent="0.35">
      <c r="A65" s="20" t="s">
        <v>354</v>
      </c>
      <c r="B65" s="20"/>
      <c r="C65" s="20"/>
      <c r="D65" s="20"/>
      <c r="E65" s="20"/>
      <c r="F65" s="20"/>
      <c r="G65" s="20"/>
      <c r="H65" s="19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</row>
    <row r="66" spans="1:32" x14ac:dyDescent="0.35">
      <c r="A66" s="20" t="s">
        <v>335</v>
      </c>
      <c r="B66" s="20"/>
      <c r="C66" s="20"/>
      <c r="D66" s="20"/>
      <c r="E66" s="20"/>
      <c r="F66" s="20"/>
      <c r="G66" s="20"/>
      <c r="H66" s="19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</row>
    <row r="67" spans="1:32" x14ac:dyDescent="0.35">
      <c r="A67" s="20" t="s">
        <v>336</v>
      </c>
      <c r="B67" s="20"/>
      <c r="C67" s="20"/>
      <c r="D67" s="20"/>
      <c r="E67" s="20"/>
      <c r="F67" s="20"/>
      <c r="G67" s="20"/>
      <c r="H67" s="19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</row>
    <row r="68" spans="1:32" x14ac:dyDescent="0.35">
      <c r="A68" s="20" t="s">
        <v>337</v>
      </c>
      <c r="B68" s="20"/>
      <c r="C68" s="20"/>
      <c r="D68" s="20"/>
      <c r="E68" s="20"/>
      <c r="F68" s="20"/>
      <c r="G68" s="20"/>
      <c r="H68" s="19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</row>
    <row r="69" spans="1:32" x14ac:dyDescent="0.35">
      <c r="A69" s="20" t="s">
        <v>338</v>
      </c>
      <c r="B69" s="20"/>
      <c r="C69" s="20"/>
      <c r="D69" s="20"/>
      <c r="E69" s="20"/>
      <c r="F69" s="20"/>
      <c r="G69" s="20"/>
      <c r="H69" s="19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</row>
    <row r="70" spans="1:32" x14ac:dyDescent="0.35">
      <c r="A70" s="20" t="s">
        <v>339</v>
      </c>
      <c r="B70" s="20"/>
      <c r="C70" s="20"/>
      <c r="D70" s="20"/>
      <c r="E70" s="20"/>
      <c r="F70" s="20"/>
      <c r="G70" s="20"/>
      <c r="H70" s="19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</row>
    <row r="71" spans="1:32" x14ac:dyDescent="0.35">
      <c r="A71" s="20" t="s">
        <v>266</v>
      </c>
      <c r="B71" s="20"/>
      <c r="C71" s="20"/>
      <c r="D71" s="20"/>
      <c r="E71" s="20"/>
      <c r="F71" s="20"/>
      <c r="G71" s="20"/>
      <c r="H71" s="19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</row>
    <row r="72" spans="1:32" x14ac:dyDescent="0.35">
      <c r="A72" s="20" t="s">
        <v>340</v>
      </c>
      <c r="B72" s="20"/>
      <c r="C72" s="20"/>
      <c r="D72" s="20"/>
      <c r="E72" s="20"/>
      <c r="F72" s="20"/>
      <c r="G72" s="20"/>
      <c r="H72" s="19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</row>
    <row r="73" spans="1:32" x14ac:dyDescent="0.35">
      <c r="A73" s="20"/>
      <c r="B73" s="20"/>
      <c r="C73" s="20"/>
      <c r="D73" s="20"/>
      <c r="E73" s="20"/>
      <c r="F73" s="20"/>
      <c r="G73" s="20"/>
      <c r="H73" s="19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</row>
    <row r="74" spans="1:32" x14ac:dyDescent="0.35">
      <c r="A74" s="20"/>
      <c r="B74" s="20"/>
      <c r="C74" s="20"/>
      <c r="D74" s="20"/>
      <c r="E74" s="20"/>
      <c r="F74" s="20"/>
      <c r="G74" s="20"/>
      <c r="H74" s="19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 spans="1:32" x14ac:dyDescent="0.35">
      <c r="A75" s="20"/>
      <c r="B75" s="20"/>
      <c r="C75" s="20"/>
      <c r="D75" s="20"/>
      <c r="E75" s="20"/>
      <c r="F75" s="20"/>
      <c r="G75" s="20"/>
      <c r="H75" s="19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</row>
    <row r="76" spans="1:32" x14ac:dyDescent="0.35">
      <c r="A76" s="20"/>
      <c r="B76" s="20"/>
      <c r="C76" s="20"/>
      <c r="D76" s="20"/>
      <c r="E76" s="20"/>
      <c r="F76" s="20"/>
      <c r="G76" s="20"/>
      <c r="H76" s="19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</row>
    <row r="77" spans="1:32" x14ac:dyDescent="0.35">
      <c r="A77" s="20"/>
      <c r="B77" s="20"/>
      <c r="C77" s="20"/>
      <c r="D77" s="20"/>
      <c r="E77" s="20"/>
      <c r="F77" s="20"/>
      <c r="G77" s="20"/>
      <c r="H77" s="19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</row>
    <row r="78" spans="1:32" x14ac:dyDescent="0.35">
      <c r="A78" s="20"/>
      <c r="B78" s="20"/>
      <c r="C78" s="20"/>
      <c r="D78" s="20"/>
      <c r="E78" s="20"/>
      <c r="F78" s="20"/>
      <c r="G78" s="20"/>
      <c r="H78" s="19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 spans="1:32" x14ac:dyDescent="0.35">
      <c r="A79" s="20"/>
      <c r="B79" s="20"/>
      <c r="C79" s="20"/>
      <c r="D79" s="20"/>
      <c r="E79" s="20"/>
      <c r="F79" s="20"/>
      <c r="G79" s="20"/>
      <c r="H79" s="19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</row>
    <row r="80" spans="1:32" x14ac:dyDescent="0.35">
      <c r="A80" s="20"/>
      <c r="B80" s="20"/>
      <c r="C80" s="20"/>
      <c r="D80" s="20"/>
      <c r="E80" s="20"/>
      <c r="F80" s="20"/>
      <c r="G80" s="20"/>
      <c r="H80" s="19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 spans="1:32" x14ac:dyDescent="0.35">
      <c r="A81" s="20"/>
      <c r="B81" s="20"/>
      <c r="C81" s="20"/>
      <c r="D81" s="20"/>
      <c r="E81" s="20"/>
      <c r="F81" s="20"/>
      <c r="G81" s="20"/>
      <c r="H81" s="19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</row>
    <row r="82" spans="1:32" x14ac:dyDescent="0.35">
      <c r="A82" s="20"/>
      <c r="B82" s="20"/>
      <c r="C82" s="20"/>
      <c r="D82" s="20"/>
      <c r="E82" s="20"/>
      <c r="F82" s="20"/>
      <c r="G82" s="20"/>
      <c r="H82" s="19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 spans="1:32" x14ac:dyDescent="0.35">
      <c r="A83" s="20"/>
      <c r="B83" s="20"/>
      <c r="C83" s="20"/>
      <c r="D83" s="20"/>
      <c r="E83" s="20"/>
      <c r="F83" s="20"/>
      <c r="G83" s="20"/>
      <c r="H83" s="19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84" spans="1:32" x14ac:dyDescent="0.35">
      <c r="A84" s="20"/>
      <c r="B84" s="20"/>
      <c r="C84" s="20"/>
      <c r="D84" s="20"/>
      <c r="E84" s="20"/>
      <c r="F84" s="20"/>
      <c r="G84" s="20"/>
      <c r="H84" s="19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</row>
    <row r="85" spans="1:32" x14ac:dyDescent="0.35">
      <c r="A85" s="20"/>
      <c r="B85" s="20"/>
      <c r="C85" s="20"/>
      <c r="D85" s="20"/>
      <c r="E85" s="20"/>
      <c r="F85" s="20"/>
      <c r="G85" s="20"/>
      <c r="H85" s="19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1:32" x14ac:dyDescent="0.35">
      <c r="A86" s="20"/>
      <c r="B86" s="20"/>
      <c r="C86" s="20"/>
      <c r="D86" s="20"/>
      <c r="E86" s="20"/>
      <c r="F86" s="20"/>
      <c r="G86" s="20"/>
      <c r="H86" s="19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</row>
    <row r="87" spans="1:32" x14ac:dyDescent="0.35">
      <c r="A87" s="20"/>
      <c r="B87" s="20"/>
      <c r="C87" s="20"/>
      <c r="D87" s="20"/>
      <c r="E87" s="20"/>
      <c r="F87" s="20"/>
      <c r="G87" s="20"/>
      <c r="H87" s="19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</row>
    <row r="88" spans="1:32" x14ac:dyDescent="0.35">
      <c r="A88" s="20"/>
      <c r="B88" s="20"/>
      <c r="C88" s="20"/>
      <c r="D88" s="20"/>
      <c r="E88" s="20"/>
      <c r="F88" s="20"/>
      <c r="G88" s="20"/>
      <c r="H88" s="19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</row>
    <row r="89" spans="1:32" x14ac:dyDescent="0.35">
      <c r="A89" s="20"/>
      <c r="B89" s="20"/>
      <c r="C89" s="20"/>
      <c r="D89" s="20"/>
      <c r="E89" s="20"/>
      <c r="F89" s="20"/>
      <c r="G89" s="20"/>
      <c r="H89" s="19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</row>
    <row r="90" spans="1:32" x14ac:dyDescent="0.35">
      <c r="A90" s="20"/>
      <c r="B90" s="20"/>
      <c r="C90" s="20"/>
      <c r="D90" s="20"/>
      <c r="E90" s="20"/>
      <c r="F90" s="20"/>
      <c r="G90" s="20"/>
      <c r="H90" s="19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</row>
    <row r="91" spans="1:32" x14ac:dyDescent="0.35">
      <c r="A91" s="20"/>
      <c r="B91" s="20"/>
      <c r="C91" s="20"/>
      <c r="D91" s="20"/>
      <c r="E91" s="20"/>
      <c r="F91" s="20"/>
      <c r="G91" s="20"/>
      <c r="H91" s="19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</row>
    <row r="92" spans="1:32" x14ac:dyDescent="0.35">
      <c r="A92" s="20"/>
      <c r="B92" s="20"/>
      <c r="C92" s="20"/>
      <c r="D92" s="20"/>
      <c r="E92" s="20"/>
      <c r="F92" s="20"/>
      <c r="G92" s="20"/>
      <c r="H92" s="19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</row>
    <row r="93" spans="1:32" x14ac:dyDescent="0.35">
      <c r="A93" s="20"/>
      <c r="B93" s="20"/>
      <c r="C93" s="20"/>
      <c r="D93" s="20"/>
      <c r="E93" s="20"/>
      <c r="F93" s="20"/>
      <c r="G93" s="20"/>
      <c r="H93" s="19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</row>
    <row r="94" spans="1:32" x14ac:dyDescent="0.35">
      <c r="A94" s="20"/>
      <c r="B94" s="20"/>
      <c r="C94" s="20"/>
      <c r="D94" s="20"/>
      <c r="E94" s="20"/>
      <c r="F94" s="20"/>
      <c r="G94" s="20"/>
      <c r="H94" s="19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</row>
    <row r="95" spans="1:32" x14ac:dyDescent="0.35">
      <c r="A95" s="20"/>
      <c r="B95" s="20"/>
      <c r="C95" s="20"/>
      <c r="D95" s="20"/>
      <c r="E95" s="20"/>
      <c r="F95" s="20"/>
      <c r="G95" s="20"/>
      <c r="H95" s="19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</row>
    <row r="96" spans="1:32" x14ac:dyDescent="0.35">
      <c r="A96" s="20"/>
      <c r="B96" s="20"/>
      <c r="C96" s="20"/>
      <c r="D96" s="20"/>
      <c r="E96" s="20"/>
      <c r="F96" s="20"/>
      <c r="G96" s="20"/>
      <c r="H96" s="19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</row>
    <row r="97" spans="1:32" x14ac:dyDescent="0.35">
      <c r="A97" s="20"/>
      <c r="B97" s="20"/>
      <c r="C97" s="20"/>
      <c r="D97" s="20"/>
      <c r="E97" s="20"/>
      <c r="F97" s="20"/>
      <c r="G97" s="20"/>
      <c r="H97" s="19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</row>
    <row r="98" spans="1:32" x14ac:dyDescent="0.35">
      <c r="A98" s="20"/>
      <c r="B98" s="20"/>
      <c r="C98" s="20"/>
      <c r="D98" s="20"/>
      <c r="E98" s="20"/>
      <c r="F98" s="20"/>
      <c r="G98" s="20"/>
      <c r="H98" s="19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</row>
    <row r="99" spans="1:32" x14ac:dyDescent="0.35">
      <c r="A99" s="20"/>
      <c r="B99" s="20"/>
      <c r="C99" s="20"/>
      <c r="D99" s="20"/>
      <c r="E99" s="20"/>
      <c r="F99" s="20"/>
      <c r="G99" s="20"/>
      <c r="H99" s="19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</row>
    <row r="100" spans="1:32" x14ac:dyDescent="0.35">
      <c r="A100" s="20"/>
      <c r="B100" s="20"/>
      <c r="C100" s="20"/>
      <c r="D100" s="20"/>
      <c r="E100" s="20"/>
      <c r="F100" s="20"/>
      <c r="G100" s="20"/>
      <c r="H100" s="19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</row>
    <row r="101" spans="1:32" x14ac:dyDescent="0.35">
      <c r="A101" s="20"/>
      <c r="B101" s="20"/>
      <c r="C101" s="20"/>
      <c r="D101" s="20"/>
      <c r="E101" s="20"/>
      <c r="F101" s="20"/>
      <c r="G101" s="20"/>
      <c r="H101" s="19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</row>
    <row r="102" spans="1:32" x14ac:dyDescent="0.35">
      <c r="A102" s="20"/>
      <c r="B102" s="20"/>
      <c r="C102" s="20"/>
      <c r="D102" s="20"/>
      <c r="E102" s="20"/>
      <c r="F102" s="20"/>
      <c r="G102" s="20"/>
      <c r="H102" s="19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</row>
    <row r="103" spans="1:32" x14ac:dyDescent="0.35">
      <c r="A103" s="20"/>
      <c r="B103" s="20"/>
      <c r="C103" s="20"/>
      <c r="D103" s="20"/>
      <c r="E103" s="20"/>
      <c r="F103" s="20"/>
      <c r="G103" s="20"/>
      <c r="H103" s="19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</row>
    <row r="104" spans="1:32" x14ac:dyDescent="0.35">
      <c r="A104" s="20"/>
      <c r="B104" s="20"/>
      <c r="C104" s="20"/>
      <c r="D104" s="20"/>
      <c r="E104" s="20"/>
      <c r="F104" s="20"/>
      <c r="G104" s="20"/>
      <c r="H104" s="19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</row>
    <row r="105" spans="1:32" x14ac:dyDescent="0.35">
      <c r="A105" s="20"/>
      <c r="B105" s="20"/>
      <c r="C105" s="20"/>
      <c r="D105" s="20"/>
      <c r="E105" s="20"/>
      <c r="F105" s="20"/>
      <c r="G105" s="20"/>
      <c r="H105" s="19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</row>
    <row r="106" spans="1:32" x14ac:dyDescent="0.35">
      <c r="A106" s="20"/>
      <c r="B106" s="20"/>
      <c r="C106" s="20"/>
      <c r="D106" s="20"/>
      <c r="E106" s="20"/>
      <c r="F106" s="20"/>
      <c r="G106" s="20"/>
      <c r="H106" s="19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</row>
    <row r="107" spans="1:32" x14ac:dyDescent="0.35">
      <c r="A107" s="20"/>
      <c r="B107" s="20"/>
      <c r="C107" s="20"/>
      <c r="D107" s="20"/>
      <c r="E107" s="20"/>
      <c r="F107" s="20"/>
      <c r="G107" s="20"/>
      <c r="H107" s="19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</row>
    <row r="108" spans="1:32" x14ac:dyDescent="0.35">
      <c r="A108" s="20"/>
      <c r="B108" s="20"/>
      <c r="C108" s="20"/>
      <c r="D108" s="20"/>
      <c r="E108" s="20"/>
      <c r="F108" s="20"/>
      <c r="G108" s="20"/>
      <c r="H108" s="19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</row>
    <row r="109" spans="1:32" x14ac:dyDescent="0.35">
      <c r="A109" s="20"/>
      <c r="B109" s="20"/>
      <c r="C109" s="20"/>
      <c r="D109" s="20"/>
      <c r="E109" s="20"/>
      <c r="F109" s="20"/>
      <c r="G109" s="20"/>
      <c r="H109" s="19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</row>
    <row r="110" spans="1:32" x14ac:dyDescent="0.35">
      <c r="A110" s="20"/>
      <c r="B110" s="20"/>
      <c r="C110" s="20"/>
      <c r="D110" s="20"/>
      <c r="E110" s="20"/>
      <c r="F110" s="20"/>
      <c r="G110" s="20"/>
      <c r="H110" s="19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</row>
    <row r="111" spans="1:32" x14ac:dyDescent="0.35">
      <c r="A111" s="20"/>
      <c r="B111" s="20"/>
      <c r="C111" s="20"/>
      <c r="D111" s="20"/>
      <c r="E111" s="20"/>
      <c r="F111" s="20"/>
      <c r="G111" s="20"/>
      <c r="H111" s="19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</row>
    <row r="112" spans="1:32" x14ac:dyDescent="0.35">
      <c r="A112" s="20"/>
      <c r="B112" s="20"/>
      <c r="C112" s="20"/>
      <c r="D112" s="20"/>
      <c r="E112" s="20"/>
      <c r="F112" s="20"/>
      <c r="G112" s="20"/>
      <c r="H112" s="19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</row>
    <row r="113" spans="1:32" x14ac:dyDescent="0.35">
      <c r="A113" s="20"/>
      <c r="B113" s="20"/>
      <c r="C113" s="20"/>
      <c r="D113" s="20"/>
      <c r="E113" s="20"/>
      <c r="F113" s="20"/>
      <c r="G113" s="20"/>
      <c r="H113" s="19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</row>
    <row r="114" spans="1:32" x14ac:dyDescent="0.35">
      <c r="A114" s="20"/>
      <c r="B114" s="20"/>
      <c r="C114" s="20"/>
      <c r="D114" s="20"/>
      <c r="E114" s="20"/>
      <c r="F114" s="20"/>
      <c r="G114" s="20"/>
      <c r="H114" s="19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</row>
    <row r="115" spans="1:32" x14ac:dyDescent="0.35">
      <c r="A115" s="20"/>
      <c r="B115" s="20"/>
      <c r="C115" s="20"/>
      <c r="D115" s="20"/>
      <c r="E115" s="20"/>
      <c r="F115" s="20"/>
      <c r="G115" s="20"/>
      <c r="H115" s="19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</row>
    <row r="116" spans="1:32" x14ac:dyDescent="0.35">
      <c r="A116" s="20"/>
      <c r="B116" s="20"/>
      <c r="C116" s="20"/>
      <c r="D116" s="20"/>
      <c r="E116" s="20"/>
      <c r="F116" s="20"/>
      <c r="G116" s="20"/>
      <c r="H116" s="19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</row>
    <row r="117" spans="1:32" x14ac:dyDescent="0.35">
      <c r="A117" s="20"/>
      <c r="B117" s="20"/>
      <c r="C117" s="20"/>
      <c r="D117" s="20"/>
      <c r="E117" s="20"/>
      <c r="F117" s="20"/>
      <c r="G117" s="20"/>
      <c r="H117" s="19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</row>
    <row r="118" spans="1:32" x14ac:dyDescent="0.35">
      <c r="A118" s="20"/>
      <c r="B118" s="20"/>
      <c r="C118" s="20"/>
      <c r="D118" s="20"/>
      <c r="E118" s="20"/>
      <c r="F118" s="20"/>
      <c r="G118" s="20"/>
      <c r="H118" s="19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</row>
    <row r="119" spans="1:32" x14ac:dyDescent="0.35">
      <c r="A119" s="20"/>
      <c r="B119" s="20"/>
      <c r="C119" s="20"/>
      <c r="D119" s="20"/>
      <c r="E119" s="20"/>
      <c r="F119" s="20"/>
      <c r="G119" s="20"/>
      <c r="H119" s="19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</row>
    <row r="120" spans="1:32" x14ac:dyDescent="0.35">
      <c r="A120" s="20"/>
      <c r="B120" s="20"/>
      <c r="C120" s="20"/>
      <c r="D120" s="20"/>
      <c r="E120" s="20"/>
      <c r="F120" s="20"/>
      <c r="G120" s="20"/>
      <c r="H120" s="19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</row>
    <row r="121" spans="1:32" x14ac:dyDescent="0.35">
      <c r="A121" s="20"/>
      <c r="B121" s="20"/>
      <c r="C121" s="20"/>
      <c r="D121" s="20"/>
      <c r="E121" s="20"/>
      <c r="F121" s="20"/>
      <c r="G121" s="20"/>
      <c r="H121" s="19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</row>
    <row r="122" spans="1:32" x14ac:dyDescent="0.35">
      <c r="A122" s="20"/>
      <c r="B122" s="20"/>
      <c r="C122" s="20"/>
      <c r="D122" s="20"/>
      <c r="E122" s="20"/>
      <c r="F122" s="20"/>
      <c r="G122" s="20"/>
      <c r="H122" s="19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</row>
    <row r="123" spans="1:32" x14ac:dyDescent="0.35">
      <c r="A123" s="20"/>
      <c r="B123" s="20"/>
      <c r="C123" s="20"/>
      <c r="D123" s="20"/>
      <c r="E123" s="20"/>
      <c r="F123" s="20"/>
      <c r="G123" s="20"/>
      <c r="H123" s="19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</row>
    <row r="124" spans="1:32" x14ac:dyDescent="0.35">
      <c r="A124" s="20"/>
      <c r="B124" s="20"/>
      <c r="C124" s="20"/>
      <c r="D124" s="20"/>
      <c r="E124" s="20"/>
      <c r="F124" s="20"/>
      <c r="G124" s="20"/>
      <c r="H124" s="19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</row>
    <row r="125" spans="1:32" x14ac:dyDescent="0.35">
      <c r="A125" s="20"/>
      <c r="B125" s="20"/>
      <c r="C125" s="20"/>
      <c r="D125" s="20"/>
      <c r="E125" s="20"/>
      <c r="F125" s="20"/>
      <c r="G125" s="20"/>
      <c r="H125" s="19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</row>
    <row r="126" spans="1:32" x14ac:dyDescent="0.35">
      <c r="A126" s="20"/>
      <c r="B126" s="20"/>
      <c r="C126" s="20"/>
      <c r="D126" s="20"/>
      <c r="E126" s="20"/>
      <c r="F126" s="20"/>
      <c r="G126" s="20"/>
      <c r="H126" s="19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</row>
    <row r="127" spans="1:32" x14ac:dyDescent="0.35">
      <c r="A127" s="20"/>
      <c r="B127" s="20"/>
      <c r="C127" s="20"/>
      <c r="D127" s="20"/>
      <c r="E127" s="20"/>
      <c r="F127" s="20"/>
      <c r="G127" s="20"/>
      <c r="H127" s="19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</row>
    <row r="128" spans="1:32" x14ac:dyDescent="0.35">
      <c r="A128" s="20"/>
      <c r="B128" s="20"/>
      <c r="C128" s="20"/>
      <c r="D128" s="20"/>
      <c r="E128" s="20"/>
      <c r="F128" s="20"/>
      <c r="G128" s="20"/>
      <c r="H128" s="19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</row>
    <row r="129" spans="1:32" x14ac:dyDescent="0.35">
      <c r="A129" s="20"/>
      <c r="B129" s="20"/>
      <c r="C129" s="20"/>
      <c r="D129" s="20"/>
      <c r="E129" s="20"/>
      <c r="F129" s="20"/>
      <c r="G129" s="20"/>
      <c r="H129" s="19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</row>
    <row r="130" spans="1:32" x14ac:dyDescent="0.35">
      <c r="A130" s="20"/>
      <c r="B130" s="20"/>
      <c r="C130" s="20"/>
      <c r="D130" s="20"/>
      <c r="E130" s="20"/>
      <c r="F130" s="20"/>
      <c r="G130" s="20"/>
      <c r="H130" s="19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</row>
    <row r="131" spans="1:32" x14ac:dyDescent="0.35">
      <c r="A131" s="20"/>
      <c r="B131" s="20"/>
      <c r="C131" s="20"/>
      <c r="D131" s="20"/>
      <c r="E131" s="20"/>
      <c r="F131" s="20"/>
      <c r="G131" s="20"/>
      <c r="H131" s="19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</row>
    <row r="132" spans="1:32" x14ac:dyDescent="0.35">
      <c r="A132" s="20"/>
      <c r="B132" s="20"/>
      <c r="C132" s="20"/>
      <c r="D132" s="20"/>
      <c r="E132" s="20"/>
      <c r="F132" s="20"/>
      <c r="G132" s="20"/>
      <c r="H132" s="19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</row>
    <row r="133" spans="1:32" x14ac:dyDescent="0.35">
      <c r="A133" s="20"/>
      <c r="B133" s="20"/>
      <c r="C133" s="20"/>
      <c r="D133" s="20"/>
      <c r="E133" s="20"/>
      <c r="F133" s="20"/>
      <c r="G133" s="20"/>
      <c r="H133" s="19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</row>
    <row r="134" spans="1:32" x14ac:dyDescent="0.35">
      <c r="A134" s="20"/>
      <c r="B134" s="20"/>
      <c r="C134" s="20"/>
      <c r="D134" s="20"/>
      <c r="E134" s="20"/>
      <c r="F134" s="20"/>
      <c r="G134" s="20"/>
      <c r="H134" s="19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</row>
    <row r="135" spans="1:32" x14ac:dyDescent="0.35">
      <c r="A135" s="20"/>
      <c r="B135" s="20"/>
      <c r="C135" s="20"/>
      <c r="D135" s="20"/>
      <c r="E135" s="20"/>
      <c r="F135" s="20"/>
      <c r="G135" s="20"/>
      <c r="H135" s="19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</row>
    <row r="136" spans="1:32" x14ac:dyDescent="0.35">
      <c r="A136" s="20"/>
      <c r="B136" s="20"/>
      <c r="C136" s="20"/>
      <c r="D136" s="20"/>
      <c r="E136" s="20"/>
      <c r="F136" s="20"/>
      <c r="G136" s="20"/>
      <c r="H136" s="19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</row>
    <row r="137" spans="1:32" x14ac:dyDescent="0.35">
      <c r="A137" s="20"/>
      <c r="B137" s="20"/>
      <c r="C137" s="20"/>
      <c r="D137" s="20"/>
      <c r="E137" s="20"/>
      <c r="F137" s="20"/>
      <c r="G137" s="20"/>
      <c r="H137" s="1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</row>
    <row r="138" spans="1:32" x14ac:dyDescent="0.35">
      <c r="A138" s="20"/>
      <c r="B138" s="20"/>
      <c r="C138" s="20"/>
      <c r="D138" s="20"/>
      <c r="E138" s="20"/>
      <c r="F138" s="20"/>
      <c r="G138" s="20"/>
      <c r="H138" s="19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</row>
    <row r="139" spans="1:32" x14ac:dyDescent="0.35">
      <c r="A139" s="20"/>
      <c r="B139" s="20"/>
      <c r="C139" s="20"/>
      <c r="D139" s="20"/>
      <c r="E139" s="20"/>
      <c r="F139" s="20"/>
      <c r="G139" s="20"/>
      <c r="H139" s="19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</row>
    <row r="140" spans="1:32" x14ac:dyDescent="0.35">
      <c r="A140" s="20"/>
      <c r="B140" s="20"/>
      <c r="C140" s="20"/>
      <c r="D140" s="20"/>
      <c r="E140" s="20"/>
      <c r="F140" s="20"/>
      <c r="G140" s="20"/>
      <c r="H140" s="19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</row>
    <row r="141" spans="1:32" x14ac:dyDescent="0.35">
      <c r="A141" s="20"/>
      <c r="B141" s="20"/>
      <c r="C141" s="20"/>
      <c r="D141" s="20"/>
      <c r="E141" s="20"/>
      <c r="F141" s="20"/>
      <c r="G141" s="20"/>
      <c r="H141" s="19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</row>
    <row r="142" spans="1:32" x14ac:dyDescent="0.35">
      <c r="A142" s="20"/>
      <c r="B142" s="20"/>
      <c r="C142" s="20"/>
      <c r="D142" s="20"/>
      <c r="E142" s="20"/>
      <c r="F142" s="20"/>
      <c r="G142" s="20"/>
      <c r="H142" s="19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</row>
    <row r="143" spans="1:32" x14ac:dyDescent="0.35">
      <c r="A143" s="20"/>
      <c r="B143" s="20"/>
      <c r="C143" s="20"/>
      <c r="D143" s="20"/>
      <c r="E143" s="20"/>
      <c r="F143" s="20"/>
      <c r="G143" s="20"/>
      <c r="H143" s="19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</row>
    <row r="144" spans="1:32" x14ac:dyDescent="0.35">
      <c r="A144" s="20"/>
      <c r="B144" s="20"/>
      <c r="C144" s="20"/>
      <c r="D144" s="20"/>
      <c r="E144" s="20"/>
      <c r="F144" s="20"/>
      <c r="G144" s="20"/>
      <c r="H144" s="19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</row>
    <row r="145" spans="1:32" x14ac:dyDescent="0.35">
      <c r="A145" s="20"/>
      <c r="B145" s="20"/>
      <c r="C145" s="20"/>
      <c r="D145" s="20"/>
      <c r="E145" s="20"/>
      <c r="F145" s="20"/>
      <c r="G145" s="20"/>
      <c r="H145" s="19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</row>
    <row r="146" spans="1:32" x14ac:dyDescent="0.35">
      <c r="A146" s="20"/>
      <c r="B146" s="20"/>
      <c r="C146" s="20"/>
      <c r="D146" s="20"/>
      <c r="E146" s="20"/>
      <c r="F146" s="20"/>
      <c r="G146" s="20"/>
      <c r="H146" s="19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</row>
    <row r="147" spans="1:32" x14ac:dyDescent="0.35">
      <c r="A147" s="20"/>
      <c r="B147" s="20"/>
      <c r="C147" s="20"/>
      <c r="D147" s="20"/>
      <c r="E147" s="20"/>
      <c r="F147" s="20"/>
      <c r="G147" s="20"/>
      <c r="H147" s="19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</row>
    <row r="148" spans="1:32" x14ac:dyDescent="0.35">
      <c r="A148" s="20"/>
      <c r="B148" s="20"/>
      <c r="C148" s="20"/>
      <c r="D148" s="20"/>
      <c r="E148" s="20"/>
      <c r="F148" s="20"/>
      <c r="G148" s="20"/>
      <c r="H148" s="19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</row>
    <row r="149" spans="1:32" x14ac:dyDescent="0.35">
      <c r="A149" s="20"/>
      <c r="B149" s="20"/>
      <c r="C149" s="20"/>
      <c r="D149" s="20"/>
      <c r="E149" s="20"/>
      <c r="F149" s="20"/>
      <c r="G149" s="20"/>
      <c r="H149" s="19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</row>
    <row r="150" spans="1:32" x14ac:dyDescent="0.35">
      <c r="A150" s="20"/>
      <c r="B150" s="20"/>
      <c r="C150" s="20"/>
      <c r="D150" s="20"/>
      <c r="E150" s="20"/>
      <c r="F150" s="20"/>
      <c r="G150" s="20"/>
      <c r="H150" s="19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</row>
    <row r="151" spans="1:32" x14ac:dyDescent="0.35">
      <c r="A151" s="20"/>
      <c r="B151" s="20"/>
      <c r="C151" s="20"/>
      <c r="D151" s="20"/>
      <c r="E151" s="20"/>
      <c r="F151" s="20"/>
      <c r="G151" s="20"/>
      <c r="H151" s="19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</row>
    <row r="152" spans="1:32" x14ac:dyDescent="0.35">
      <c r="A152" s="20"/>
      <c r="B152" s="20"/>
      <c r="C152" s="20"/>
      <c r="D152" s="20"/>
      <c r="E152" s="20"/>
      <c r="F152" s="20"/>
      <c r="G152" s="20"/>
      <c r="H152" s="19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</row>
    <row r="153" spans="1:32" x14ac:dyDescent="0.35">
      <c r="A153" s="20"/>
      <c r="B153" s="20"/>
      <c r="C153" s="20"/>
      <c r="D153" s="20"/>
      <c r="E153" s="20"/>
      <c r="F153" s="20"/>
      <c r="G153" s="20"/>
      <c r="H153" s="19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</row>
    <row r="154" spans="1:32" x14ac:dyDescent="0.35">
      <c r="A154" s="20"/>
      <c r="B154" s="20"/>
      <c r="C154" s="20"/>
      <c r="D154" s="20"/>
      <c r="E154" s="20"/>
      <c r="F154" s="20"/>
      <c r="G154" s="20"/>
      <c r="H154" s="19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</row>
    <row r="155" spans="1:32" x14ac:dyDescent="0.35">
      <c r="A155" s="20"/>
      <c r="B155" s="20"/>
      <c r="C155" s="20"/>
      <c r="D155" s="20"/>
      <c r="E155" s="20"/>
      <c r="F155" s="20"/>
      <c r="G155" s="20"/>
      <c r="H155" s="19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</row>
    <row r="156" spans="1:32" x14ac:dyDescent="0.35">
      <c r="A156" s="20"/>
      <c r="B156" s="20"/>
      <c r="C156" s="20"/>
      <c r="D156" s="20"/>
      <c r="E156" s="20"/>
      <c r="F156" s="20"/>
      <c r="G156" s="20"/>
      <c r="H156" s="19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</row>
    <row r="157" spans="1:32" x14ac:dyDescent="0.35">
      <c r="A157" s="20"/>
      <c r="B157" s="20"/>
      <c r="C157" s="20"/>
      <c r="D157" s="20"/>
      <c r="E157" s="20"/>
      <c r="F157" s="20"/>
      <c r="G157" s="20"/>
      <c r="H157" s="19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</row>
    <row r="158" spans="1:32" x14ac:dyDescent="0.35">
      <c r="A158" s="20"/>
      <c r="B158" s="20"/>
      <c r="C158" s="20"/>
      <c r="D158" s="20"/>
      <c r="E158" s="20"/>
      <c r="F158" s="20"/>
      <c r="G158" s="20"/>
      <c r="H158" s="19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</row>
    <row r="159" spans="1:32" x14ac:dyDescent="0.35">
      <c r="A159" s="20"/>
      <c r="B159" s="20"/>
      <c r="C159" s="20"/>
      <c r="D159" s="20"/>
      <c r="E159" s="20"/>
      <c r="F159" s="20"/>
      <c r="G159" s="20"/>
      <c r="H159" s="19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</row>
    <row r="160" spans="1:32" x14ac:dyDescent="0.35">
      <c r="A160" s="20"/>
      <c r="B160" s="20"/>
      <c r="C160" s="20"/>
      <c r="D160" s="20"/>
      <c r="E160" s="20"/>
      <c r="F160" s="20"/>
      <c r="G160" s="20"/>
      <c r="H160" s="19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</row>
    <row r="161" spans="1:32" x14ac:dyDescent="0.35">
      <c r="A161" s="20"/>
      <c r="B161" s="20"/>
      <c r="C161" s="20"/>
      <c r="D161" s="20"/>
      <c r="E161" s="20"/>
      <c r="F161" s="20"/>
      <c r="G161" s="20"/>
      <c r="H161" s="19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</row>
    <row r="162" spans="1:32" x14ac:dyDescent="0.35">
      <c r="A162" s="20"/>
      <c r="B162" s="20"/>
      <c r="C162" s="20"/>
      <c r="D162" s="20"/>
      <c r="E162" s="20"/>
      <c r="F162" s="20"/>
      <c r="G162" s="20"/>
      <c r="H162" s="19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</row>
    <row r="163" spans="1:32" x14ac:dyDescent="0.35">
      <c r="A163" s="20"/>
      <c r="B163" s="20"/>
      <c r="C163" s="20"/>
      <c r="D163" s="20"/>
      <c r="E163" s="20"/>
      <c r="F163" s="20"/>
      <c r="G163" s="20"/>
      <c r="H163" s="19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</row>
    <row r="164" spans="1:32" x14ac:dyDescent="0.35">
      <c r="A164" s="20"/>
      <c r="B164" s="20"/>
      <c r="C164" s="20"/>
      <c r="D164" s="20"/>
      <c r="E164" s="20"/>
      <c r="F164" s="20"/>
      <c r="G164" s="20"/>
      <c r="H164" s="19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</row>
    <row r="165" spans="1:32" x14ac:dyDescent="0.35">
      <c r="A165" s="20"/>
      <c r="B165" s="20"/>
      <c r="C165" s="20"/>
      <c r="D165" s="20"/>
      <c r="E165" s="20"/>
      <c r="F165" s="20"/>
      <c r="G165" s="20"/>
      <c r="H165" s="19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</row>
    <row r="166" spans="1:32" x14ac:dyDescent="0.35">
      <c r="A166" s="20"/>
      <c r="B166" s="20"/>
      <c r="C166" s="20"/>
      <c r="D166" s="20"/>
      <c r="E166" s="20"/>
      <c r="F166" s="20"/>
      <c r="G166" s="20"/>
      <c r="H166" s="19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</row>
    <row r="167" spans="1:32" x14ac:dyDescent="0.35">
      <c r="A167" s="20"/>
      <c r="B167" s="20"/>
      <c r="C167" s="20"/>
      <c r="D167" s="20"/>
      <c r="E167" s="20"/>
      <c r="F167" s="20"/>
      <c r="G167" s="20"/>
      <c r="H167" s="19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</row>
    <row r="168" spans="1:32" x14ac:dyDescent="0.35">
      <c r="A168" s="20"/>
      <c r="B168" s="20"/>
      <c r="C168" s="20"/>
      <c r="D168" s="20"/>
      <c r="E168" s="20"/>
      <c r="F168" s="20"/>
      <c r="G168" s="20"/>
      <c r="H168" s="19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</row>
    <row r="169" spans="1:32" x14ac:dyDescent="0.35">
      <c r="A169" s="20"/>
      <c r="B169" s="20"/>
      <c r="C169" s="20"/>
      <c r="D169" s="20"/>
      <c r="E169" s="20"/>
      <c r="F169" s="20"/>
      <c r="G169" s="20"/>
      <c r="H169" s="19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</row>
    <row r="170" spans="1:32" x14ac:dyDescent="0.35">
      <c r="A170" s="20"/>
      <c r="B170" s="20"/>
      <c r="C170" s="20"/>
      <c r="D170" s="20"/>
      <c r="E170" s="20"/>
      <c r="F170" s="20"/>
      <c r="G170" s="20"/>
      <c r="H170" s="19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</row>
    <row r="171" spans="1:32" x14ac:dyDescent="0.35">
      <c r="A171" s="20"/>
      <c r="B171" s="20"/>
      <c r="C171" s="20"/>
      <c r="D171" s="20"/>
      <c r="E171" s="20"/>
      <c r="F171" s="20"/>
      <c r="G171" s="20"/>
      <c r="H171" s="19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</row>
    <row r="172" spans="1:32" x14ac:dyDescent="0.35">
      <c r="A172" s="20"/>
      <c r="B172" s="20"/>
      <c r="C172" s="20"/>
      <c r="D172" s="20"/>
      <c r="E172" s="20"/>
      <c r="F172" s="20"/>
      <c r="G172" s="20"/>
      <c r="H172" s="19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</row>
    <row r="173" spans="1:32" x14ac:dyDescent="0.35">
      <c r="A173" s="20"/>
      <c r="B173" s="20"/>
      <c r="C173" s="20"/>
      <c r="D173" s="20"/>
      <c r="E173" s="20"/>
      <c r="F173" s="20"/>
      <c r="G173" s="20"/>
      <c r="H173" s="19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</row>
    <row r="174" spans="1:32" x14ac:dyDescent="0.35">
      <c r="A174" s="20"/>
      <c r="B174" s="20"/>
      <c r="C174" s="20"/>
      <c r="D174" s="20"/>
      <c r="E174" s="20"/>
      <c r="F174" s="20"/>
      <c r="G174" s="20"/>
      <c r="H174" s="19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</row>
    <row r="175" spans="1:32" x14ac:dyDescent="0.35">
      <c r="A175" s="20"/>
      <c r="B175" s="20"/>
      <c r="C175" s="20"/>
      <c r="D175" s="20"/>
      <c r="E175" s="20"/>
      <c r="F175" s="20"/>
      <c r="G175" s="20"/>
      <c r="H175" s="19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</row>
    <row r="176" spans="1:32" x14ac:dyDescent="0.35">
      <c r="A176" s="20"/>
      <c r="B176" s="20"/>
      <c r="C176" s="20"/>
      <c r="D176" s="20"/>
      <c r="E176" s="20"/>
      <c r="F176" s="20"/>
      <c r="G176" s="20"/>
      <c r="H176" s="19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</row>
    <row r="177" spans="1:32" x14ac:dyDescent="0.35">
      <c r="A177" s="20"/>
      <c r="B177" s="20"/>
      <c r="C177" s="20"/>
      <c r="D177" s="20"/>
      <c r="E177" s="20"/>
      <c r="F177" s="20"/>
      <c r="G177" s="20"/>
      <c r="H177" s="19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</row>
    <row r="178" spans="1:32" x14ac:dyDescent="0.35">
      <c r="A178" s="20"/>
      <c r="B178" s="20"/>
      <c r="C178" s="20"/>
      <c r="D178" s="20"/>
      <c r="E178" s="20"/>
      <c r="F178" s="20"/>
      <c r="G178" s="20"/>
      <c r="H178" s="19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</row>
    <row r="179" spans="1:32" x14ac:dyDescent="0.35">
      <c r="A179" s="20"/>
      <c r="B179" s="20"/>
      <c r="C179" s="20"/>
      <c r="D179" s="20"/>
      <c r="E179" s="20"/>
      <c r="F179" s="20"/>
      <c r="G179" s="20"/>
      <c r="H179" s="19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</row>
    <row r="180" spans="1:32" x14ac:dyDescent="0.35">
      <c r="A180" s="20"/>
      <c r="B180" s="20"/>
      <c r="C180" s="20"/>
      <c r="D180" s="20"/>
      <c r="E180" s="20"/>
      <c r="F180" s="20"/>
      <c r="G180" s="20"/>
      <c r="H180" s="19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</row>
    <row r="181" spans="1:32" x14ac:dyDescent="0.35">
      <c r="A181" s="20"/>
      <c r="B181" s="20"/>
      <c r="C181" s="20"/>
      <c r="D181" s="20"/>
      <c r="E181" s="20"/>
      <c r="F181" s="20"/>
      <c r="G181" s="20"/>
      <c r="H181" s="19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</row>
    <row r="182" spans="1:32" x14ac:dyDescent="0.35">
      <c r="A182" s="20"/>
      <c r="B182" s="20"/>
      <c r="C182" s="20"/>
      <c r="D182" s="20"/>
      <c r="E182" s="20"/>
      <c r="F182" s="20"/>
      <c r="G182" s="20"/>
      <c r="H182" s="19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</row>
    <row r="183" spans="1:32" x14ac:dyDescent="0.35">
      <c r="A183" s="20"/>
      <c r="B183" s="20"/>
      <c r="C183" s="20"/>
      <c r="D183" s="20"/>
      <c r="E183" s="20"/>
      <c r="F183" s="20"/>
      <c r="G183" s="20"/>
      <c r="H183" s="19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</row>
    <row r="184" spans="1:32" x14ac:dyDescent="0.35">
      <c r="A184" s="20"/>
      <c r="B184" s="20"/>
      <c r="C184" s="20"/>
      <c r="D184" s="20"/>
      <c r="E184" s="20"/>
      <c r="F184" s="20"/>
      <c r="G184" s="20"/>
      <c r="H184" s="19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</row>
    <row r="185" spans="1:32" x14ac:dyDescent="0.35">
      <c r="A185" s="20"/>
      <c r="B185" s="20"/>
      <c r="C185" s="20"/>
      <c r="D185" s="20"/>
      <c r="E185" s="20"/>
      <c r="F185" s="20"/>
      <c r="G185" s="20"/>
      <c r="H185" s="19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</row>
    <row r="186" spans="1:32" x14ac:dyDescent="0.35">
      <c r="A186" s="20"/>
      <c r="B186" s="20"/>
      <c r="C186" s="20"/>
      <c r="D186" s="20"/>
      <c r="E186" s="20"/>
      <c r="F186" s="20"/>
      <c r="G186" s="20"/>
      <c r="H186" s="19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</row>
    <row r="187" spans="1:32" x14ac:dyDescent="0.35">
      <c r="A187" s="20"/>
      <c r="B187" s="20"/>
      <c r="C187" s="20"/>
      <c r="D187" s="20"/>
      <c r="E187" s="20"/>
      <c r="F187" s="20"/>
      <c r="G187" s="20"/>
      <c r="H187" s="19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</row>
    <row r="188" spans="1:32" x14ac:dyDescent="0.35">
      <c r="A188" s="20"/>
      <c r="B188" s="20"/>
      <c r="C188" s="20"/>
      <c r="D188" s="20"/>
      <c r="E188" s="20"/>
      <c r="F188" s="20"/>
      <c r="G188" s="20"/>
      <c r="H188" s="19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</row>
    <row r="189" spans="1:32" x14ac:dyDescent="0.35">
      <c r="A189" s="20"/>
      <c r="B189" s="20"/>
      <c r="C189" s="20"/>
      <c r="D189" s="20"/>
      <c r="E189" s="20"/>
      <c r="F189" s="20"/>
      <c r="G189" s="20"/>
      <c r="H189" s="19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</row>
    <row r="190" spans="1:32" x14ac:dyDescent="0.35">
      <c r="A190" s="20"/>
      <c r="B190" s="20"/>
      <c r="C190" s="20"/>
      <c r="D190" s="20"/>
      <c r="E190" s="20"/>
      <c r="F190" s="20"/>
      <c r="G190" s="20"/>
      <c r="H190" s="19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</row>
    <row r="191" spans="1:32" x14ac:dyDescent="0.35">
      <c r="A191" s="20"/>
      <c r="B191" s="20"/>
      <c r="C191" s="20"/>
      <c r="D191" s="20"/>
      <c r="E191" s="20"/>
      <c r="F191" s="20"/>
      <c r="G191" s="20"/>
      <c r="H191" s="19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</row>
    <row r="192" spans="1:32" x14ac:dyDescent="0.35">
      <c r="A192" s="20"/>
      <c r="B192" s="20"/>
      <c r="C192" s="20"/>
      <c r="D192" s="20"/>
      <c r="E192" s="20"/>
      <c r="F192" s="20"/>
      <c r="G192" s="20"/>
      <c r="H192" s="19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 spans="1:32" x14ac:dyDescent="0.35">
      <c r="A193" s="20"/>
      <c r="B193" s="20"/>
      <c r="C193" s="20"/>
      <c r="D193" s="20"/>
      <c r="E193" s="20"/>
      <c r="F193" s="20"/>
      <c r="G193" s="20"/>
      <c r="H193" s="19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spans="1:32" x14ac:dyDescent="0.35">
      <c r="A194" s="20"/>
      <c r="B194" s="20"/>
      <c r="C194" s="20"/>
      <c r="D194" s="20"/>
      <c r="E194" s="20"/>
      <c r="F194" s="20"/>
      <c r="G194" s="20"/>
      <c r="H194" s="19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1:32" x14ac:dyDescent="0.35">
      <c r="A195" s="20"/>
      <c r="B195" s="20"/>
      <c r="C195" s="20"/>
      <c r="D195" s="20"/>
      <c r="E195" s="20"/>
      <c r="F195" s="20"/>
      <c r="G195" s="20"/>
      <c r="H195" s="19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1:32" x14ac:dyDescent="0.35">
      <c r="A196" s="20"/>
      <c r="B196" s="20"/>
      <c r="C196" s="20"/>
      <c r="D196" s="20"/>
      <c r="E196" s="20"/>
      <c r="F196" s="20"/>
      <c r="G196" s="20"/>
      <c r="H196" s="19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1:32" x14ac:dyDescent="0.35">
      <c r="A197" s="20"/>
      <c r="B197" s="20"/>
      <c r="C197" s="20"/>
      <c r="D197" s="20"/>
      <c r="E197" s="20"/>
      <c r="F197" s="20"/>
      <c r="G197" s="20"/>
      <c r="H197" s="19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1:32" x14ac:dyDescent="0.35">
      <c r="A198" s="20"/>
      <c r="B198" s="20"/>
      <c r="C198" s="20"/>
      <c r="D198" s="20"/>
      <c r="E198" s="20"/>
      <c r="F198" s="20"/>
      <c r="G198" s="20"/>
      <c r="H198" s="19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1:32" x14ac:dyDescent="0.35">
      <c r="A199" s="20"/>
      <c r="B199" s="20"/>
      <c r="C199" s="20"/>
      <c r="D199" s="20"/>
      <c r="E199" s="20"/>
      <c r="F199" s="20"/>
      <c r="G199" s="20"/>
      <c r="H199" s="19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1:32" x14ac:dyDescent="0.35">
      <c r="A200" s="20"/>
      <c r="B200" s="20"/>
      <c r="C200" s="20"/>
      <c r="D200" s="20"/>
      <c r="E200" s="20"/>
      <c r="F200" s="20"/>
      <c r="G200" s="20"/>
      <c r="H200" s="19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1:32" x14ac:dyDescent="0.35">
      <c r="A201" s="20"/>
      <c r="B201" s="20"/>
      <c r="C201" s="20"/>
      <c r="D201" s="20"/>
      <c r="E201" s="20"/>
      <c r="F201" s="20"/>
      <c r="G201" s="20"/>
      <c r="H201" s="19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1:32" x14ac:dyDescent="0.35">
      <c r="A202" s="20"/>
      <c r="B202" s="20"/>
      <c r="C202" s="20"/>
      <c r="D202" s="20"/>
      <c r="E202" s="20"/>
      <c r="F202" s="20"/>
      <c r="G202" s="20"/>
      <c r="H202" s="19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1:32" x14ac:dyDescent="0.35">
      <c r="A203" s="20"/>
      <c r="B203" s="20"/>
      <c r="C203" s="20"/>
      <c r="D203" s="20"/>
      <c r="E203" s="20"/>
      <c r="F203" s="20"/>
      <c r="G203" s="20"/>
      <c r="H203" s="19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1:32" x14ac:dyDescent="0.35">
      <c r="A204" s="20"/>
      <c r="B204" s="20"/>
      <c r="C204" s="20"/>
      <c r="D204" s="20"/>
      <c r="E204" s="20"/>
      <c r="F204" s="20"/>
      <c r="G204" s="20"/>
      <c r="H204" s="19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1:32" x14ac:dyDescent="0.35">
      <c r="A205" s="20"/>
      <c r="B205" s="20"/>
      <c r="C205" s="20"/>
      <c r="D205" s="20"/>
      <c r="E205" s="20"/>
      <c r="F205" s="20"/>
      <c r="G205" s="20"/>
      <c r="H205" s="19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1:32" x14ac:dyDescent="0.35">
      <c r="A206" s="20"/>
      <c r="B206" s="20"/>
      <c r="C206" s="20"/>
      <c r="D206" s="20"/>
      <c r="E206" s="20"/>
      <c r="F206" s="20"/>
      <c r="G206" s="20"/>
      <c r="H206" s="19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1:32" x14ac:dyDescent="0.35">
      <c r="A207" s="20"/>
      <c r="B207" s="20"/>
      <c r="C207" s="20"/>
      <c r="D207" s="20"/>
      <c r="E207" s="20"/>
      <c r="F207" s="20"/>
      <c r="G207" s="20"/>
      <c r="H207" s="19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1:32" x14ac:dyDescent="0.35">
      <c r="A208" s="20"/>
      <c r="B208" s="20"/>
      <c r="C208" s="20"/>
      <c r="D208" s="20"/>
      <c r="E208" s="20"/>
      <c r="F208" s="20"/>
      <c r="G208" s="20"/>
      <c r="H208" s="19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1:32" x14ac:dyDescent="0.35">
      <c r="A209" s="20"/>
      <c r="B209" s="20"/>
      <c r="C209" s="20"/>
      <c r="D209" s="20"/>
      <c r="E209" s="20"/>
      <c r="F209" s="20"/>
      <c r="G209" s="20"/>
      <c r="H209" s="19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1:32" x14ac:dyDescent="0.35">
      <c r="A210" s="20"/>
      <c r="B210" s="20"/>
      <c r="C210" s="20"/>
      <c r="D210" s="20"/>
      <c r="E210" s="20"/>
      <c r="F210" s="20"/>
      <c r="G210" s="20"/>
      <c r="H210" s="19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1:32" x14ac:dyDescent="0.35">
      <c r="A211" s="20"/>
      <c r="B211" s="20"/>
      <c r="C211" s="20"/>
      <c r="D211" s="20"/>
      <c r="E211" s="20"/>
      <c r="F211" s="20"/>
      <c r="G211" s="20"/>
      <c r="H211" s="19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1:32" x14ac:dyDescent="0.35">
      <c r="A212" s="20"/>
      <c r="B212" s="20"/>
      <c r="C212" s="20"/>
      <c r="D212" s="20"/>
      <c r="E212" s="20"/>
      <c r="F212" s="20"/>
      <c r="G212" s="20"/>
      <c r="H212" s="19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1:32" x14ac:dyDescent="0.35">
      <c r="A213" s="20"/>
      <c r="B213" s="20"/>
      <c r="C213" s="20"/>
      <c r="D213" s="20"/>
      <c r="E213" s="20"/>
      <c r="F213" s="20"/>
      <c r="G213" s="20"/>
      <c r="H213" s="19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1:32" x14ac:dyDescent="0.35">
      <c r="A214" s="20"/>
      <c r="B214" s="20"/>
      <c r="C214" s="20"/>
      <c r="D214" s="20"/>
      <c r="E214" s="20"/>
      <c r="F214" s="20"/>
      <c r="G214" s="20"/>
      <c r="H214" s="19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1:32" x14ac:dyDescent="0.35">
      <c r="A215" s="20"/>
      <c r="B215" s="20"/>
      <c r="C215" s="20"/>
      <c r="D215" s="20"/>
      <c r="E215" s="20"/>
      <c r="F215" s="20"/>
      <c r="G215" s="20"/>
      <c r="H215" s="19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1:32" x14ac:dyDescent="0.35">
      <c r="A216" s="20"/>
      <c r="B216" s="20"/>
      <c r="C216" s="20"/>
      <c r="D216" s="20"/>
      <c r="E216" s="20"/>
      <c r="F216" s="20"/>
      <c r="G216" s="20"/>
      <c r="H216" s="19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1:32" x14ac:dyDescent="0.35">
      <c r="A217" s="20"/>
      <c r="B217" s="20"/>
      <c r="C217" s="20"/>
      <c r="D217" s="20"/>
      <c r="E217" s="20"/>
      <c r="F217" s="20"/>
      <c r="G217" s="20"/>
      <c r="H217" s="19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1:32" x14ac:dyDescent="0.35">
      <c r="A218" s="20"/>
      <c r="B218" s="20"/>
      <c r="C218" s="20"/>
      <c r="D218" s="20"/>
      <c r="E218" s="20"/>
      <c r="F218" s="20"/>
      <c r="G218" s="20"/>
      <c r="H218" s="19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1:32" x14ac:dyDescent="0.35">
      <c r="A219" s="20"/>
      <c r="B219" s="20"/>
      <c r="C219" s="20"/>
      <c r="D219" s="20"/>
      <c r="E219" s="20"/>
      <c r="F219" s="20"/>
      <c r="G219" s="20"/>
      <c r="H219" s="19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1:32" x14ac:dyDescent="0.35">
      <c r="A220" s="20"/>
      <c r="B220" s="20"/>
      <c r="C220" s="20"/>
      <c r="D220" s="20"/>
      <c r="E220" s="20"/>
      <c r="F220" s="20"/>
      <c r="G220" s="20"/>
      <c r="H220" s="19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1:32" x14ac:dyDescent="0.35">
      <c r="A221" s="20"/>
      <c r="B221" s="20"/>
      <c r="C221" s="20"/>
      <c r="D221" s="20"/>
      <c r="E221" s="20"/>
      <c r="F221" s="20"/>
      <c r="G221" s="20"/>
      <c r="H221" s="19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1:32" x14ac:dyDescent="0.35">
      <c r="A222" s="20"/>
      <c r="B222" s="20"/>
      <c r="C222" s="20"/>
      <c r="D222" s="20"/>
      <c r="E222" s="20"/>
      <c r="F222" s="20"/>
      <c r="G222" s="20"/>
      <c r="H222" s="19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spans="1:32" x14ac:dyDescent="0.35">
      <c r="A223" s="20"/>
      <c r="B223" s="20"/>
      <c r="C223" s="20"/>
      <c r="D223" s="20"/>
      <c r="E223" s="20"/>
      <c r="F223" s="20"/>
      <c r="G223" s="20"/>
      <c r="H223" s="19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 spans="1:32" x14ac:dyDescent="0.35">
      <c r="A224" s="20"/>
      <c r="B224" s="20"/>
      <c r="C224" s="20"/>
      <c r="D224" s="20"/>
      <c r="E224" s="20"/>
      <c r="F224" s="20"/>
      <c r="G224" s="20"/>
      <c r="H224" s="19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 spans="1:32" x14ac:dyDescent="0.35">
      <c r="A225" s="20"/>
      <c r="B225" s="20"/>
      <c r="C225" s="20"/>
      <c r="D225" s="20"/>
      <c r="E225" s="20"/>
      <c r="F225" s="20"/>
      <c r="G225" s="20"/>
      <c r="H225" s="19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 spans="1:32" x14ac:dyDescent="0.35">
      <c r="A226" s="20"/>
      <c r="B226" s="20"/>
      <c r="C226" s="20"/>
      <c r="D226" s="20"/>
      <c r="E226" s="20"/>
      <c r="F226" s="20"/>
      <c r="G226" s="20"/>
      <c r="H226" s="19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 spans="1:32" x14ac:dyDescent="0.35">
      <c r="A227" s="20"/>
      <c r="B227" s="20"/>
      <c r="C227" s="20"/>
      <c r="D227" s="20"/>
      <c r="E227" s="20"/>
      <c r="F227" s="20"/>
      <c r="G227" s="20"/>
      <c r="H227" s="19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 spans="1:32" x14ac:dyDescent="0.35">
      <c r="A228" s="20"/>
      <c r="B228" s="20"/>
      <c r="C228" s="20"/>
      <c r="D228" s="20"/>
      <c r="E228" s="20"/>
      <c r="F228" s="20"/>
      <c r="G228" s="20"/>
      <c r="H228" s="19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 spans="1:32" x14ac:dyDescent="0.35">
      <c r="A229" s="20"/>
      <c r="B229" s="20"/>
      <c r="C229" s="20"/>
      <c r="D229" s="20"/>
      <c r="E229" s="20"/>
      <c r="F229" s="20"/>
      <c r="G229" s="20"/>
      <c r="H229" s="19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</row>
    <row r="230" spans="1:32" x14ac:dyDescent="0.35">
      <c r="A230" s="20"/>
      <c r="B230" s="20"/>
      <c r="C230" s="20"/>
      <c r="D230" s="20"/>
      <c r="E230" s="20"/>
      <c r="F230" s="20"/>
      <c r="G230" s="20"/>
      <c r="H230" s="19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</row>
    <row r="231" spans="1:32" x14ac:dyDescent="0.35">
      <c r="A231" s="20"/>
      <c r="B231" s="20"/>
      <c r="C231" s="20"/>
      <c r="D231" s="20"/>
      <c r="E231" s="20"/>
      <c r="F231" s="20"/>
      <c r="G231" s="20"/>
      <c r="H231" s="19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</row>
    <row r="232" spans="1:32" x14ac:dyDescent="0.35">
      <c r="A232" s="20"/>
      <c r="B232" s="20"/>
      <c r="C232" s="20"/>
      <c r="D232" s="20"/>
      <c r="E232" s="20"/>
      <c r="F232" s="20"/>
      <c r="G232" s="20"/>
      <c r="H232" s="19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</row>
    <row r="233" spans="1:32" x14ac:dyDescent="0.35">
      <c r="A233" s="20"/>
      <c r="B233" s="20"/>
      <c r="C233" s="20"/>
      <c r="D233" s="20"/>
      <c r="E233" s="20"/>
      <c r="F233" s="20"/>
      <c r="G233" s="20"/>
      <c r="H233" s="19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</row>
    <row r="234" spans="1:32" x14ac:dyDescent="0.35">
      <c r="A234" s="20"/>
      <c r="B234" s="20"/>
      <c r="C234" s="20"/>
      <c r="D234" s="20"/>
      <c r="E234" s="20"/>
      <c r="F234" s="20"/>
      <c r="G234" s="20"/>
      <c r="H234" s="19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</row>
    <row r="235" spans="1:32" x14ac:dyDescent="0.35">
      <c r="A235" s="20"/>
      <c r="B235" s="20"/>
      <c r="C235" s="20"/>
      <c r="D235" s="20"/>
      <c r="E235" s="20"/>
      <c r="F235" s="20"/>
      <c r="G235" s="20"/>
      <c r="H235" s="19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</row>
    <row r="236" spans="1:32" x14ac:dyDescent="0.35">
      <c r="A236" s="20"/>
      <c r="B236" s="20"/>
      <c r="C236" s="20"/>
      <c r="D236" s="20"/>
      <c r="E236" s="20"/>
      <c r="F236" s="20"/>
      <c r="G236" s="20"/>
      <c r="H236" s="19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</row>
    <row r="237" spans="1:32" x14ac:dyDescent="0.35">
      <c r="A237" s="20"/>
      <c r="B237" s="20"/>
      <c r="C237" s="20"/>
      <c r="D237" s="20"/>
      <c r="E237" s="20"/>
      <c r="F237" s="20"/>
      <c r="G237" s="20"/>
      <c r="H237" s="19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</row>
    <row r="238" spans="1:32" x14ac:dyDescent="0.35">
      <c r="A238" s="20"/>
      <c r="B238" s="20"/>
      <c r="C238" s="20"/>
      <c r="D238" s="20"/>
      <c r="E238" s="20"/>
      <c r="F238" s="20"/>
      <c r="G238" s="20"/>
      <c r="H238" s="19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</row>
    <row r="239" spans="1:32" x14ac:dyDescent="0.35">
      <c r="A239" s="20"/>
      <c r="B239" s="20"/>
      <c r="C239" s="20"/>
      <c r="D239" s="20"/>
      <c r="E239" s="20"/>
      <c r="F239" s="20"/>
      <c r="G239" s="20"/>
      <c r="H239" s="19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</row>
    <row r="240" spans="1:32" x14ac:dyDescent="0.35">
      <c r="A240" s="20"/>
      <c r="B240" s="20"/>
      <c r="C240" s="20"/>
      <c r="D240" s="20"/>
      <c r="E240" s="20"/>
      <c r="F240" s="20"/>
      <c r="G240" s="20"/>
      <c r="H240" s="19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</row>
    <row r="241" spans="1:32" x14ac:dyDescent="0.35">
      <c r="A241" s="20"/>
      <c r="B241" s="20"/>
      <c r="C241" s="20"/>
      <c r="D241" s="20"/>
      <c r="E241" s="20"/>
      <c r="F241" s="20"/>
      <c r="G241" s="20"/>
      <c r="H241" s="19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</row>
    <row r="242" spans="1:32" x14ac:dyDescent="0.35">
      <c r="A242" s="20"/>
      <c r="B242" s="20"/>
      <c r="C242" s="20"/>
      <c r="D242" s="20"/>
      <c r="E242" s="20"/>
      <c r="F242" s="20"/>
      <c r="G242" s="20"/>
      <c r="H242" s="19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</row>
    <row r="243" spans="1:32" x14ac:dyDescent="0.35">
      <c r="A243" s="20"/>
      <c r="B243" s="20"/>
      <c r="C243" s="20"/>
      <c r="D243" s="20"/>
      <c r="E243" s="20"/>
      <c r="F243" s="20"/>
      <c r="G243" s="20"/>
      <c r="H243" s="19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</row>
    <row r="244" spans="1:32" x14ac:dyDescent="0.35">
      <c r="A244" s="20"/>
      <c r="B244" s="20"/>
      <c r="C244" s="20"/>
      <c r="D244" s="20"/>
      <c r="E244" s="20"/>
      <c r="F244" s="20"/>
      <c r="G244" s="20"/>
      <c r="H244" s="19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</row>
    <row r="245" spans="1:32" x14ac:dyDescent="0.35">
      <c r="A245" s="20"/>
      <c r="B245" s="20"/>
      <c r="C245" s="20"/>
      <c r="D245" s="20"/>
      <c r="E245" s="20"/>
      <c r="F245" s="20"/>
      <c r="G245" s="20"/>
      <c r="H245" s="19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</row>
    <row r="246" spans="1:32" x14ac:dyDescent="0.35">
      <c r="A246" s="20"/>
      <c r="B246" s="20"/>
      <c r="C246" s="20"/>
      <c r="D246" s="20"/>
      <c r="E246" s="20"/>
      <c r="F246" s="20"/>
      <c r="G246" s="20"/>
      <c r="H246" s="19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</row>
    <row r="247" spans="1:32" x14ac:dyDescent="0.35">
      <c r="A247" s="20"/>
      <c r="B247" s="20"/>
      <c r="C247" s="20"/>
      <c r="D247" s="20"/>
      <c r="E247" s="20"/>
      <c r="F247" s="20"/>
      <c r="G247" s="20"/>
      <c r="H247" s="19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</row>
    <row r="248" spans="1:32" x14ac:dyDescent="0.35">
      <c r="A248" s="20"/>
      <c r="B248" s="20"/>
      <c r="C248" s="20"/>
      <c r="D248" s="20"/>
      <c r="E248" s="20"/>
      <c r="F248" s="20"/>
      <c r="G248" s="20"/>
      <c r="H248" s="19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</row>
    <row r="249" spans="1:32" x14ac:dyDescent="0.35">
      <c r="A249" s="20"/>
      <c r="B249" s="20"/>
      <c r="C249" s="20"/>
      <c r="D249" s="20"/>
      <c r="E249" s="20"/>
      <c r="F249" s="20"/>
      <c r="G249" s="20"/>
      <c r="H249" s="19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</row>
    <row r="250" spans="1:32" x14ac:dyDescent="0.35">
      <c r="A250" s="20"/>
      <c r="B250" s="20"/>
      <c r="C250" s="20"/>
      <c r="D250" s="20"/>
      <c r="E250" s="20"/>
      <c r="F250" s="20"/>
      <c r="G250" s="20"/>
      <c r="H250" s="19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</row>
    <row r="251" spans="1:32" x14ac:dyDescent="0.35">
      <c r="A251" s="20"/>
      <c r="B251" s="20"/>
      <c r="C251" s="20"/>
      <c r="D251" s="20"/>
      <c r="E251" s="20"/>
      <c r="F251" s="20"/>
      <c r="G251" s="20"/>
      <c r="H251" s="19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</row>
    <row r="252" spans="1:32" x14ac:dyDescent="0.35">
      <c r="A252" s="20"/>
      <c r="B252" s="20"/>
      <c r="C252" s="20"/>
      <c r="D252" s="20"/>
      <c r="E252" s="20"/>
      <c r="F252" s="20"/>
      <c r="G252" s="20"/>
      <c r="H252" s="19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</row>
    <row r="253" spans="1:32" x14ac:dyDescent="0.35">
      <c r="A253" s="20"/>
      <c r="B253" s="20"/>
      <c r="C253" s="20"/>
      <c r="D253" s="20"/>
      <c r="E253" s="20"/>
      <c r="F253" s="20"/>
      <c r="G253" s="20"/>
      <c r="H253" s="19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</row>
    <row r="254" spans="1:32" x14ac:dyDescent="0.35">
      <c r="A254" s="20"/>
      <c r="B254" s="20"/>
      <c r="C254" s="20"/>
      <c r="D254" s="20"/>
      <c r="E254" s="20"/>
      <c r="F254" s="20"/>
      <c r="G254" s="20"/>
      <c r="H254" s="19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</row>
    <row r="255" spans="1:32" x14ac:dyDescent="0.35">
      <c r="A255" s="20"/>
      <c r="B255" s="20"/>
      <c r="C255" s="20"/>
      <c r="D255" s="20"/>
      <c r="E255" s="20"/>
      <c r="F255" s="20"/>
      <c r="G255" s="20"/>
      <c r="H255" s="19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</row>
    <row r="256" spans="1:32" x14ac:dyDescent="0.35">
      <c r="A256" s="20"/>
      <c r="B256" s="20"/>
      <c r="C256" s="20"/>
      <c r="D256" s="20"/>
      <c r="E256" s="20"/>
      <c r="F256" s="20"/>
      <c r="G256" s="20"/>
      <c r="H256" s="19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</row>
    <row r="257" spans="1:32" x14ac:dyDescent="0.35">
      <c r="A257" s="20"/>
      <c r="B257" s="20"/>
      <c r="C257" s="20"/>
      <c r="D257" s="20"/>
      <c r="E257" s="20"/>
      <c r="F257" s="20"/>
      <c r="G257" s="20"/>
      <c r="H257" s="19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</row>
    <row r="258" spans="1:32" x14ac:dyDescent="0.35">
      <c r="A258" s="20"/>
      <c r="B258" s="20"/>
      <c r="C258" s="20"/>
      <c r="D258" s="20"/>
      <c r="E258" s="20"/>
      <c r="F258" s="20"/>
      <c r="G258" s="20"/>
      <c r="H258" s="19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</row>
    <row r="259" spans="1:32" x14ac:dyDescent="0.35">
      <c r="A259" s="20"/>
      <c r="B259" s="20"/>
      <c r="C259" s="20"/>
      <c r="D259" s="20"/>
      <c r="E259" s="20"/>
      <c r="F259" s="20"/>
      <c r="G259" s="20"/>
      <c r="H259" s="19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</row>
    <row r="260" spans="1:32" x14ac:dyDescent="0.35">
      <c r="A260" s="20"/>
      <c r="B260" s="20"/>
      <c r="C260" s="20"/>
      <c r="D260" s="20"/>
      <c r="E260" s="20"/>
      <c r="F260" s="20"/>
      <c r="G260" s="20"/>
      <c r="H260" s="19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</row>
    <row r="261" spans="1:32" x14ac:dyDescent="0.35">
      <c r="A261" s="20"/>
      <c r="B261" s="20"/>
      <c r="C261" s="20"/>
      <c r="D261" s="20"/>
      <c r="E261" s="20"/>
      <c r="F261" s="20"/>
      <c r="G261" s="20"/>
      <c r="H261" s="19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</row>
    <row r="262" spans="1:32" x14ac:dyDescent="0.35">
      <c r="A262" s="20"/>
      <c r="B262" s="20"/>
      <c r="C262" s="20"/>
      <c r="D262" s="20"/>
      <c r="E262" s="20"/>
      <c r="F262" s="20"/>
      <c r="G262" s="20"/>
      <c r="H262" s="19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</row>
    <row r="263" spans="1:32" x14ac:dyDescent="0.35">
      <c r="A263" s="20"/>
      <c r="B263" s="20"/>
      <c r="C263" s="20"/>
      <c r="D263" s="20"/>
      <c r="E263" s="20"/>
      <c r="F263" s="20"/>
      <c r="G263" s="20"/>
      <c r="H263" s="19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</row>
    <row r="264" spans="1:32" x14ac:dyDescent="0.35">
      <c r="A264" s="20"/>
      <c r="B264" s="20"/>
      <c r="C264" s="20"/>
      <c r="D264" s="20"/>
      <c r="E264" s="20"/>
      <c r="F264" s="20"/>
      <c r="G264" s="20"/>
      <c r="H264" s="19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</row>
    <row r="265" spans="1:32" x14ac:dyDescent="0.35">
      <c r="A265" s="20"/>
      <c r="B265" s="20"/>
      <c r="C265" s="20"/>
      <c r="D265" s="20"/>
      <c r="E265" s="20"/>
      <c r="F265" s="20"/>
      <c r="G265" s="20"/>
      <c r="H265" s="19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</row>
    <row r="266" spans="1:32" x14ac:dyDescent="0.35">
      <c r="A266" s="20"/>
      <c r="B266" s="20"/>
      <c r="C266" s="20"/>
      <c r="D266" s="20"/>
      <c r="E266" s="20"/>
      <c r="F266" s="20"/>
      <c r="G266" s="20"/>
      <c r="H266" s="19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</row>
    <row r="267" spans="1:32" x14ac:dyDescent="0.35">
      <c r="A267" s="20"/>
      <c r="B267" s="20"/>
      <c r="C267" s="20"/>
      <c r="D267" s="20"/>
      <c r="E267" s="20"/>
      <c r="F267" s="20"/>
      <c r="G267" s="20"/>
      <c r="H267" s="19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</row>
    <row r="268" spans="1:32" x14ac:dyDescent="0.35">
      <c r="A268" s="20"/>
      <c r="B268" s="20"/>
      <c r="C268" s="20"/>
      <c r="D268" s="20"/>
      <c r="E268" s="20"/>
      <c r="F268" s="20"/>
      <c r="G268" s="20"/>
      <c r="H268" s="19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</row>
    <row r="269" spans="1:32" x14ac:dyDescent="0.35">
      <c r="A269" s="20"/>
      <c r="B269" s="20"/>
      <c r="C269" s="20"/>
      <c r="D269" s="20"/>
      <c r="E269" s="20"/>
      <c r="F269" s="20"/>
      <c r="G269" s="20"/>
      <c r="H269" s="19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</row>
    <row r="270" spans="1:32" x14ac:dyDescent="0.35">
      <c r="A270" s="20"/>
      <c r="B270" s="20"/>
      <c r="C270" s="20"/>
      <c r="D270" s="20"/>
      <c r="E270" s="20"/>
      <c r="F270" s="20"/>
      <c r="G270" s="20"/>
      <c r="H270" s="19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</row>
    <row r="271" spans="1:32" x14ac:dyDescent="0.35">
      <c r="A271" s="20"/>
      <c r="B271" s="20"/>
      <c r="C271" s="20"/>
      <c r="D271" s="20"/>
      <c r="E271" s="20"/>
      <c r="F271" s="20"/>
      <c r="G271" s="20"/>
      <c r="H271" s="19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</row>
    <row r="272" spans="1:32" x14ac:dyDescent="0.35">
      <c r="A272" s="20"/>
      <c r="B272" s="20"/>
      <c r="C272" s="20"/>
      <c r="D272" s="20"/>
      <c r="E272" s="20"/>
      <c r="F272" s="20"/>
      <c r="G272" s="20"/>
      <c r="H272" s="19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</row>
    <row r="273" spans="1:32" x14ac:dyDescent="0.35">
      <c r="A273" s="20"/>
      <c r="B273" s="20"/>
      <c r="C273" s="20"/>
      <c r="D273" s="20"/>
      <c r="E273" s="20"/>
      <c r="F273" s="20"/>
      <c r="G273" s="20"/>
      <c r="H273" s="19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</row>
    <row r="274" spans="1:32" x14ac:dyDescent="0.35">
      <c r="A274" s="20"/>
      <c r="B274" s="20"/>
      <c r="C274" s="20"/>
      <c r="D274" s="20"/>
      <c r="E274" s="20"/>
      <c r="F274" s="20"/>
      <c r="G274" s="20"/>
      <c r="H274" s="19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</row>
    <row r="275" spans="1:32" x14ac:dyDescent="0.35">
      <c r="A275" s="20"/>
      <c r="B275" s="20"/>
      <c r="C275" s="20"/>
      <c r="D275" s="20"/>
      <c r="E275" s="20"/>
      <c r="F275" s="20"/>
      <c r="G275" s="20"/>
      <c r="H275" s="19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</row>
    <row r="276" spans="1:32" x14ac:dyDescent="0.35">
      <c r="A276" s="20"/>
      <c r="B276" s="20"/>
      <c r="C276" s="20"/>
      <c r="D276" s="20"/>
      <c r="E276" s="20"/>
      <c r="F276" s="20"/>
      <c r="G276" s="20"/>
      <c r="H276" s="19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</row>
    <row r="277" spans="1:32" x14ac:dyDescent="0.35">
      <c r="A277" s="20"/>
      <c r="B277" s="20"/>
      <c r="C277" s="20"/>
      <c r="D277" s="20"/>
      <c r="E277" s="20"/>
      <c r="F277" s="20"/>
      <c r="G277" s="20"/>
      <c r="H277" s="19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</row>
    <row r="278" spans="1:32" x14ac:dyDescent="0.35">
      <c r="A278" s="20"/>
      <c r="B278" s="20"/>
      <c r="C278" s="20"/>
      <c r="D278" s="20"/>
      <c r="E278" s="20"/>
      <c r="F278" s="20"/>
      <c r="G278" s="20"/>
      <c r="H278" s="19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</row>
    <row r="279" spans="1:32" x14ac:dyDescent="0.35">
      <c r="A279" s="20"/>
      <c r="B279" s="20"/>
      <c r="C279" s="20"/>
      <c r="D279" s="20"/>
      <c r="E279" s="20"/>
      <c r="F279" s="20"/>
      <c r="G279" s="20"/>
      <c r="H279" s="19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</row>
    <row r="280" spans="1:32" x14ac:dyDescent="0.35">
      <c r="A280" s="20"/>
      <c r="B280" s="20"/>
      <c r="C280" s="20"/>
      <c r="D280" s="20"/>
      <c r="E280" s="20"/>
      <c r="F280" s="20"/>
      <c r="G280" s="20"/>
      <c r="H280" s="19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</row>
    <row r="281" spans="1:32" x14ac:dyDescent="0.35">
      <c r="A281" s="20"/>
      <c r="B281" s="20"/>
      <c r="C281" s="20"/>
      <c r="D281" s="20"/>
      <c r="E281" s="20"/>
      <c r="F281" s="20"/>
      <c r="G281" s="20"/>
      <c r="H281" s="19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</row>
    <row r="282" spans="1:32" x14ac:dyDescent="0.35">
      <c r="A282" s="20"/>
      <c r="B282" s="20"/>
      <c r="C282" s="20"/>
      <c r="D282" s="20"/>
      <c r="E282" s="20"/>
      <c r="F282" s="20"/>
      <c r="G282" s="20"/>
      <c r="H282" s="19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</row>
    <row r="283" spans="1:32" x14ac:dyDescent="0.35">
      <c r="A283" s="20"/>
      <c r="B283" s="20"/>
      <c r="C283" s="20"/>
      <c r="D283" s="20"/>
      <c r="E283" s="20"/>
      <c r="F283" s="20"/>
      <c r="G283" s="20"/>
      <c r="H283" s="19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</row>
    <row r="284" spans="1:32" x14ac:dyDescent="0.35">
      <c r="A284" s="20"/>
      <c r="B284" s="20"/>
      <c r="C284" s="20"/>
      <c r="D284" s="20"/>
      <c r="E284" s="20"/>
      <c r="F284" s="20"/>
      <c r="G284" s="20"/>
      <c r="H284" s="19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</row>
    <row r="285" spans="1:32" x14ac:dyDescent="0.35">
      <c r="A285" s="20"/>
      <c r="B285" s="20"/>
      <c r="C285" s="20"/>
      <c r="D285" s="20"/>
      <c r="E285" s="20"/>
      <c r="F285" s="20"/>
      <c r="G285" s="20"/>
      <c r="H285" s="19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</row>
    <row r="286" spans="1:32" x14ac:dyDescent="0.35">
      <c r="A286" s="20"/>
      <c r="B286" s="20"/>
      <c r="C286" s="20"/>
      <c r="D286" s="20"/>
      <c r="E286" s="20"/>
      <c r="F286" s="20"/>
      <c r="G286" s="20"/>
      <c r="H286" s="19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</row>
    <row r="287" spans="1:32" x14ac:dyDescent="0.35">
      <c r="A287" s="20"/>
      <c r="B287" s="20"/>
      <c r="C287" s="20"/>
      <c r="D287" s="20"/>
      <c r="E287" s="20"/>
      <c r="F287" s="20"/>
      <c r="G287" s="20"/>
      <c r="H287" s="19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</row>
    <row r="288" spans="1:32" x14ac:dyDescent="0.35">
      <c r="A288" s="20"/>
      <c r="B288" s="20"/>
      <c r="C288" s="20"/>
      <c r="D288" s="20"/>
      <c r="E288" s="20"/>
      <c r="F288" s="20"/>
      <c r="G288" s="20"/>
      <c r="H288" s="19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</row>
    <row r="289" spans="1:32" x14ac:dyDescent="0.35">
      <c r="A289" s="20"/>
      <c r="B289" s="20"/>
      <c r="C289" s="20"/>
      <c r="D289" s="20"/>
      <c r="E289" s="20"/>
      <c r="F289" s="20"/>
      <c r="G289" s="20"/>
      <c r="H289" s="19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</row>
    <row r="290" spans="1:32" x14ac:dyDescent="0.35">
      <c r="A290" s="20"/>
      <c r="B290" s="20"/>
      <c r="C290" s="20"/>
      <c r="D290" s="20"/>
      <c r="E290" s="20"/>
      <c r="F290" s="20"/>
      <c r="G290" s="20"/>
      <c r="H290" s="19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</row>
    <row r="291" spans="1:32" x14ac:dyDescent="0.35">
      <c r="A291" s="20"/>
      <c r="B291" s="20"/>
      <c r="C291" s="20"/>
      <c r="D291" s="20"/>
      <c r="E291" s="20"/>
      <c r="F291" s="20"/>
      <c r="G291" s="20"/>
      <c r="H291" s="19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</row>
    <row r="292" spans="1:32" x14ac:dyDescent="0.35">
      <c r="A292" s="20"/>
      <c r="B292" s="20"/>
      <c r="C292" s="20"/>
      <c r="D292" s="20"/>
      <c r="E292" s="20"/>
      <c r="F292" s="20"/>
      <c r="G292" s="20"/>
      <c r="H292" s="19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</row>
    <row r="293" spans="1:32" x14ac:dyDescent="0.35">
      <c r="A293" s="20"/>
      <c r="B293" s="20"/>
      <c r="C293" s="20"/>
      <c r="D293" s="20"/>
      <c r="E293" s="20"/>
      <c r="F293" s="20"/>
      <c r="G293" s="20"/>
      <c r="H293" s="19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</row>
    <row r="294" spans="1:32" x14ac:dyDescent="0.35">
      <c r="A294" s="20"/>
      <c r="B294" s="20"/>
      <c r="C294" s="20"/>
      <c r="D294" s="20"/>
      <c r="E294" s="20"/>
      <c r="F294" s="20"/>
      <c r="G294" s="20"/>
      <c r="H294" s="19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</row>
    <row r="295" spans="1:32" x14ac:dyDescent="0.35">
      <c r="A295" s="20"/>
      <c r="B295" s="20"/>
      <c r="C295" s="20"/>
      <c r="D295" s="20"/>
      <c r="E295" s="20"/>
      <c r="F295" s="20"/>
      <c r="G295" s="20"/>
      <c r="H295" s="19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</row>
    <row r="296" spans="1:32" x14ac:dyDescent="0.35">
      <c r="A296" s="20"/>
      <c r="B296" s="20"/>
      <c r="C296" s="20"/>
      <c r="D296" s="20"/>
      <c r="E296" s="20"/>
      <c r="F296" s="20"/>
      <c r="G296" s="20"/>
      <c r="H296" s="19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</row>
    <row r="297" spans="1:32" x14ac:dyDescent="0.35">
      <c r="A297" s="20"/>
      <c r="B297" s="20"/>
      <c r="C297" s="20"/>
      <c r="D297" s="20"/>
      <c r="E297" s="20"/>
      <c r="F297" s="20"/>
      <c r="G297" s="20"/>
      <c r="H297" s="19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</row>
    <row r="298" spans="1:32" x14ac:dyDescent="0.35">
      <c r="A298" s="20"/>
      <c r="B298" s="20"/>
      <c r="C298" s="20"/>
      <c r="D298" s="20"/>
      <c r="E298" s="20"/>
      <c r="F298" s="20"/>
      <c r="G298" s="20"/>
      <c r="H298" s="19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</row>
    <row r="299" spans="1:32" x14ac:dyDescent="0.35">
      <c r="A299" s="20"/>
      <c r="B299" s="20"/>
      <c r="C299" s="20"/>
      <c r="D299" s="20"/>
      <c r="E299" s="20"/>
      <c r="F299" s="20"/>
      <c r="G299" s="20"/>
      <c r="H299" s="19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</row>
    <row r="300" spans="1:32" x14ac:dyDescent="0.35">
      <c r="A300" s="20"/>
      <c r="B300" s="20"/>
      <c r="C300" s="20"/>
      <c r="D300" s="20"/>
      <c r="E300" s="20"/>
      <c r="F300" s="20"/>
      <c r="G300" s="20"/>
      <c r="H300" s="19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</row>
    <row r="301" spans="1:32" x14ac:dyDescent="0.35">
      <c r="A301" s="20"/>
      <c r="B301" s="20"/>
      <c r="C301" s="20"/>
      <c r="D301" s="20"/>
      <c r="E301" s="20"/>
      <c r="F301" s="20"/>
      <c r="G301" s="20"/>
      <c r="H301" s="19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</row>
    <row r="302" spans="1:32" x14ac:dyDescent="0.35">
      <c r="A302" s="20"/>
      <c r="B302" s="20"/>
      <c r="C302" s="20"/>
      <c r="D302" s="20"/>
      <c r="E302" s="20"/>
      <c r="F302" s="20"/>
      <c r="G302" s="20"/>
      <c r="H302" s="19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</row>
    <row r="303" spans="1:32" x14ac:dyDescent="0.35">
      <c r="A303" s="20"/>
      <c r="B303" s="20"/>
      <c r="C303" s="20"/>
      <c r="D303" s="20"/>
      <c r="E303" s="20"/>
      <c r="F303" s="20"/>
      <c r="G303" s="20"/>
      <c r="H303" s="19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</row>
    <row r="304" spans="1:32" x14ac:dyDescent="0.35">
      <c r="A304" s="20"/>
      <c r="B304" s="20"/>
      <c r="C304" s="20"/>
      <c r="D304" s="20"/>
      <c r="E304" s="20"/>
      <c r="F304" s="20"/>
      <c r="G304" s="20"/>
      <c r="H304" s="19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</row>
    <row r="305" spans="1:32" x14ac:dyDescent="0.35">
      <c r="A305" s="20"/>
      <c r="B305" s="20"/>
      <c r="C305" s="20"/>
      <c r="D305" s="20"/>
      <c r="E305" s="20"/>
      <c r="F305" s="20"/>
      <c r="G305" s="20"/>
      <c r="H305" s="19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</row>
    <row r="306" spans="1:32" x14ac:dyDescent="0.35">
      <c r="A306" s="20"/>
      <c r="B306" s="20"/>
      <c r="C306" s="20"/>
      <c r="D306" s="20"/>
      <c r="E306" s="20"/>
      <c r="F306" s="20"/>
      <c r="G306" s="20"/>
      <c r="H306" s="19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</row>
    <row r="307" spans="1:32" x14ac:dyDescent="0.35">
      <c r="A307" s="20"/>
      <c r="B307" s="20"/>
      <c r="C307" s="20"/>
      <c r="D307" s="20"/>
      <c r="E307" s="20"/>
      <c r="F307" s="20"/>
      <c r="G307" s="20"/>
      <c r="H307" s="19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</row>
    <row r="308" spans="1:32" x14ac:dyDescent="0.35">
      <c r="A308" s="20"/>
      <c r="B308" s="20"/>
      <c r="C308" s="20"/>
      <c r="D308" s="20"/>
      <c r="E308" s="20"/>
      <c r="F308" s="20"/>
      <c r="G308" s="20"/>
      <c r="H308" s="19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</row>
    <row r="309" spans="1:32" x14ac:dyDescent="0.35">
      <c r="A309" s="20"/>
      <c r="B309" s="20"/>
      <c r="C309" s="20"/>
      <c r="D309" s="20"/>
      <c r="E309" s="20"/>
      <c r="F309" s="20"/>
      <c r="G309" s="20"/>
      <c r="H309" s="19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</row>
    <row r="310" spans="1:32" x14ac:dyDescent="0.35">
      <c r="A310" s="20"/>
      <c r="B310" s="20"/>
      <c r="C310" s="20"/>
      <c r="D310" s="20"/>
      <c r="E310" s="20"/>
      <c r="F310" s="20"/>
      <c r="G310" s="20"/>
      <c r="H310" s="19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</row>
    <row r="311" spans="1:32" x14ac:dyDescent="0.35">
      <c r="A311" s="20"/>
      <c r="B311" s="20"/>
      <c r="C311" s="20"/>
      <c r="D311" s="20"/>
      <c r="E311" s="20"/>
      <c r="F311" s="20"/>
      <c r="G311" s="20"/>
      <c r="H311" s="19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</row>
    <row r="312" spans="1:32" x14ac:dyDescent="0.35">
      <c r="A312" s="20"/>
      <c r="B312" s="20"/>
      <c r="C312" s="20"/>
      <c r="D312" s="20"/>
      <c r="E312" s="20"/>
      <c r="F312" s="20"/>
      <c r="G312" s="20"/>
      <c r="H312" s="19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</row>
    <row r="313" spans="1:32" x14ac:dyDescent="0.35">
      <c r="A313" s="20"/>
      <c r="B313" s="20"/>
      <c r="C313" s="20"/>
      <c r="D313" s="20"/>
      <c r="E313" s="20"/>
      <c r="F313" s="20"/>
      <c r="G313" s="20"/>
      <c r="H313" s="19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</row>
    <row r="314" spans="1:32" x14ac:dyDescent="0.35">
      <c r="A314" s="20"/>
      <c r="B314" s="20"/>
      <c r="C314" s="20"/>
      <c r="D314" s="20"/>
      <c r="E314" s="20"/>
      <c r="F314" s="20"/>
      <c r="G314" s="20"/>
      <c r="H314" s="19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</row>
    <row r="315" spans="1:32" x14ac:dyDescent="0.35">
      <c r="A315" s="20"/>
      <c r="B315" s="20"/>
      <c r="C315" s="20"/>
      <c r="D315" s="20"/>
      <c r="E315" s="20"/>
      <c r="F315" s="20"/>
      <c r="G315" s="20"/>
      <c r="H315" s="19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</row>
    <row r="316" spans="1:32" x14ac:dyDescent="0.35">
      <c r="A316" s="20"/>
      <c r="B316" s="20"/>
      <c r="C316" s="20"/>
      <c r="D316" s="20"/>
      <c r="E316" s="20"/>
      <c r="F316" s="20"/>
      <c r="G316" s="20"/>
      <c r="H316" s="19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</row>
    <row r="317" spans="1:32" x14ac:dyDescent="0.35">
      <c r="A317" s="20"/>
      <c r="B317" s="20"/>
      <c r="C317" s="20"/>
      <c r="D317" s="20"/>
      <c r="E317" s="20"/>
      <c r="F317" s="20"/>
      <c r="G317" s="20"/>
      <c r="H317" s="19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</row>
    <row r="318" spans="1:32" x14ac:dyDescent="0.35">
      <c r="A318" s="20"/>
      <c r="B318" s="20"/>
      <c r="C318" s="20"/>
      <c r="D318" s="20"/>
      <c r="E318" s="20"/>
      <c r="F318" s="20"/>
      <c r="G318" s="20"/>
      <c r="H318" s="19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</row>
    <row r="319" spans="1:32" x14ac:dyDescent="0.35">
      <c r="A319" s="20"/>
      <c r="B319" s="20"/>
      <c r="C319" s="20"/>
      <c r="D319" s="20"/>
      <c r="E319" s="20"/>
      <c r="F319" s="20"/>
      <c r="G319" s="20"/>
      <c r="H319" s="19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</row>
    <row r="320" spans="1:32" x14ac:dyDescent="0.35">
      <c r="A320" s="20"/>
      <c r="B320" s="20"/>
      <c r="C320" s="20"/>
      <c r="D320" s="20"/>
      <c r="E320" s="20"/>
      <c r="F320" s="20"/>
      <c r="G320" s="20"/>
      <c r="H320" s="19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</row>
    <row r="321" spans="1:32" x14ac:dyDescent="0.35">
      <c r="A321" s="20"/>
      <c r="B321" s="20"/>
      <c r="C321" s="20"/>
      <c r="D321" s="20"/>
      <c r="E321" s="20"/>
      <c r="F321" s="20"/>
      <c r="G321" s="20"/>
      <c r="H321" s="19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</row>
    <row r="322" spans="1:32" x14ac:dyDescent="0.35">
      <c r="A322" s="20"/>
      <c r="B322" s="20"/>
      <c r="C322" s="20"/>
      <c r="D322" s="20"/>
      <c r="E322" s="20"/>
      <c r="F322" s="20"/>
      <c r="G322" s="20"/>
      <c r="H322" s="19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</row>
    <row r="323" spans="1:32" x14ac:dyDescent="0.35">
      <c r="A323" s="20"/>
      <c r="B323" s="20"/>
      <c r="C323" s="20"/>
      <c r="D323" s="20"/>
      <c r="E323" s="20"/>
      <c r="F323" s="20"/>
      <c r="G323" s="20"/>
      <c r="H323" s="19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</row>
    <row r="324" spans="1:32" x14ac:dyDescent="0.35">
      <c r="A324" s="20"/>
      <c r="B324" s="20"/>
      <c r="C324" s="20"/>
      <c r="D324" s="20"/>
      <c r="E324" s="20"/>
      <c r="F324" s="20"/>
      <c r="G324" s="20"/>
      <c r="H324" s="19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</row>
    <row r="325" spans="1:32" x14ac:dyDescent="0.35">
      <c r="A325" s="20"/>
      <c r="B325" s="20"/>
      <c r="C325" s="20"/>
      <c r="D325" s="20"/>
      <c r="E325" s="20"/>
      <c r="F325" s="20"/>
      <c r="G325" s="20"/>
      <c r="H325" s="19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</row>
    <row r="326" spans="1:32" x14ac:dyDescent="0.35">
      <c r="A326" s="20"/>
      <c r="B326" s="20"/>
      <c r="C326" s="20"/>
      <c r="D326" s="20"/>
      <c r="E326" s="20"/>
      <c r="F326" s="20"/>
      <c r="G326" s="20"/>
      <c r="H326" s="19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</row>
    <row r="327" spans="1:32" x14ac:dyDescent="0.35">
      <c r="A327" s="20"/>
      <c r="B327" s="20"/>
      <c r="C327" s="20"/>
      <c r="D327" s="20"/>
      <c r="E327" s="20"/>
      <c r="F327" s="20"/>
      <c r="G327" s="20"/>
      <c r="H327" s="19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</row>
    <row r="328" spans="1:32" x14ac:dyDescent="0.35">
      <c r="A328" s="20"/>
      <c r="B328" s="20"/>
      <c r="C328" s="20"/>
      <c r="D328" s="20"/>
      <c r="E328" s="20"/>
      <c r="F328" s="20"/>
      <c r="G328" s="20"/>
      <c r="H328" s="19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</row>
    <row r="329" spans="1:32" x14ac:dyDescent="0.35">
      <c r="A329" s="20"/>
      <c r="B329" s="20"/>
      <c r="C329" s="20"/>
      <c r="D329" s="20"/>
      <c r="E329" s="20"/>
      <c r="F329" s="20"/>
      <c r="G329" s="20"/>
      <c r="H329" s="19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</row>
    <row r="330" spans="1:32" x14ac:dyDescent="0.35">
      <c r="A330" s="20"/>
      <c r="B330" s="20"/>
      <c r="C330" s="20"/>
      <c r="D330" s="20"/>
      <c r="E330" s="20"/>
      <c r="F330" s="20"/>
      <c r="G330" s="20"/>
      <c r="H330" s="19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</row>
    <row r="331" spans="1:32" x14ac:dyDescent="0.35">
      <c r="A331" s="20"/>
      <c r="B331" s="20"/>
      <c r="C331" s="20"/>
      <c r="D331" s="20"/>
      <c r="E331" s="20"/>
      <c r="F331" s="20"/>
      <c r="G331" s="20"/>
      <c r="H331" s="19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</row>
    <row r="332" spans="1:32" x14ac:dyDescent="0.35">
      <c r="A332" s="20"/>
      <c r="B332" s="20"/>
      <c r="C332" s="20"/>
      <c r="D332" s="20"/>
      <c r="E332" s="20"/>
      <c r="F332" s="20"/>
      <c r="G332" s="20"/>
      <c r="H332" s="19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</row>
    <row r="333" spans="1:32" x14ac:dyDescent="0.35">
      <c r="A333" s="20"/>
      <c r="B333" s="20"/>
      <c r="C333" s="20"/>
      <c r="D333" s="20"/>
      <c r="E333" s="20"/>
      <c r="F333" s="20"/>
      <c r="G333" s="20"/>
      <c r="H333" s="19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</row>
    <row r="334" spans="1:32" x14ac:dyDescent="0.35">
      <c r="A334" s="20"/>
      <c r="B334" s="20"/>
      <c r="C334" s="20"/>
      <c r="D334" s="20"/>
      <c r="E334" s="20"/>
      <c r="F334" s="20"/>
      <c r="G334" s="20"/>
      <c r="H334" s="19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</row>
    <row r="335" spans="1:32" x14ac:dyDescent="0.35">
      <c r="A335" s="20"/>
      <c r="B335" s="20"/>
      <c r="C335" s="20"/>
      <c r="D335" s="20"/>
      <c r="E335" s="20"/>
      <c r="F335" s="20"/>
      <c r="G335" s="20"/>
      <c r="H335" s="19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</row>
    <row r="336" spans="1:32" x14ac:dyDescent="0.35">
      <c r="A336" s="20"/>
      <c r="B336" s="20"/>
      <c r="C336" s="20"/>
      <c r="D336" s="20"/>
      <c r="E336" s="20"/>
      <c r="F336" s="20"/>
      <c r="G336" s="20"/>
      <c r="H336" s="19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</row>
    <row r="337" spans="1:32" x14ac:dyDescent="0.35">
      <c r="A337" s="20"/>
      <c r="B337" s="20"/>
      <c r="C337" s="20"/>
      <c r="D337" s="20"/>
      <c r="E337" s="20"/>
      <c r="F337" s="20"/>
      <c r="G337" s="20"/>
      <c r="H337" s="19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</row>
    <row r="338" spans="1:32" x14ac:dyDescent="0.35">
      <c r="A338" s="20"/>
      <c r="B338" s="20"/>
      <c r="C338" s="20"/>
      <c r="D338" s="20"/>
      <c r="E338" s="20"/>
      <c r="F338" s="20"/>
      <c r="G338" s="20"/>
      <c r="H338" s="19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</row>
    <row r="339" spans="1:32" x14ac:dyDescent="0.35">
      <c r="A339" s="20"/>
      <c r="B339" s="20"/>
      <c r="C339" s="20"/>
      <c r="D339" s="20"/>
      <c r="E339" s="20"/>
      <c r="F339" s="20"/>
      <c r="G339" s="20"/>
      <c r="H339" s="19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</row>
    <row r="340" spans="1:32" x14ac:dyDescent="0.35">
      <c r="A340" s="20"/>
      <c r="B340" s="20"/>
      <c r="C340" s="20"/>
      <c r="D340" s="20"/>
      <c r="E340" s="20"/>
      <c r="F340" s="20"/>
      <c r="G340" s="20"/>
      <c r="H340" s="19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</row>
    <row r="341" spans="1:32" x14ac:dyDescent="0.35">
      <c r="A341" s="20"/>
      <c r="B341" s="20"/>
      <c r="C341" s="20"/>
      <c r="D341" s="20"/>
      <c r="E341" s="20"/>
      <c r="F341" s="20"/>
      <c r="G341" s="20"/>
      <c r="H341" s="19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</row>
    <row r="342" spans="1:32" x14ac:dyDescent="0.35">
      <c r="A342" s="20"/>
      <c r="B342" s="20"/>
      <c r="C342" s="20"/>
      <c r="D342" s="20"/>
      <c r="E342" s="20"/>
      <c r="F342" s="20"/>
      <c r="G342" s="20"/>
      <c r="H342" s="19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</row>
    <row r="343" spans="1:32" x14ac:dyDescent="0.35">
      <c r="A343" s="20"/>
      <c r="B343" s="20"/>
      <c r="C343" s="20"/>
      <c r="D343" s="20"/>
      <c r="E343" s="20"/>
      <c r="F343" s="20"/>
      <c r="G343" s="20"/>
      <c r="H343" s="19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</row>
    <row r="344" spans="1:32" x14ac:dyDescent="0.35">
      <c r="A344" s="20"/>
      <c r="B344" s="20"/>
      <c r="C344" s="20"/>
      <c r="D344" s="20"/>
      <c r="E344" s="20"/>
      <c r="F344" s="20"/>
      <c r="G344" s="20"/>
      <c r="H344" s="19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</row>
    <row r="345" spans="1:32" x14ac:dyDescent="0.35">
      <c r="A345" s="20"/>
      <c r="B345" s="20"/>
      <c r="C345" s="20"/>
      <c r="D345" s="20"/>
      <c r="E345" s="20"/>
      <c r="F345" s="20"/>
      <c r="G345" s="20"/>
      <c r="H345" s="19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</row>
    <row r="346" spans="1:32" x14ac:dyDescent="0.35">
      <c r="A346" s="20"/>
      <c r="B346" s="20"/>
      <c r="C346" s="20"/>
      <c r="D346" s="20"/>
      <c r="E346" s="20"/>
      <c r="F346" s="20"/>
      <c r="G346" s="20"/>
      <c r="H346" s="19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</row>
    <row r="347" spans="1:32" x14ac:dyDescent="0.35">
      <c r="A347" s="20"/>
      <c r="B347" s="20"/>
      <c r="C347" s="20"/>
      <c r="D347" s="20"/>
      <c r="E347" s="20"/>
      <c r="F347" s="20"/>
      <c r="G347" s="20"/>
      <c r="H347" s="19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</row>
    <row r="348" spans="1:32" x14ac:dyDescent="0.35">
      <c r="A348" s="20"/>
      <c r="B348" s="20"/>
      <c r="C348" s="20"/>
      <c r="D348" s="20"/>
      <c r="E348" s="20"/>
      <c r="F348" s="20"/>
      <c r="G348" s="20"/>
      <c r="H348" s="19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</row>
    <row r="349" spans="1:32" x14ac:dyDescent="0.35">
      <c r="A349" s="20"/>
      <c r="B349" s="20"/>
      <c r="C349" s="20"/>
      <c r="D349" s="20"/>
      <c r="E349" s="20"/>
      <c r="F349" s="20"/>
      <c r="G349" s="20"/>
      <c r="H349" s="19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</row>
    <row r="350" spans="1:32" x14ac:dyDescent="0.35">
      <c r="A350" s="20"/>
      <c r="B350" s="20"/>
      <c r="C350" s="20"/>
      <c r="D350" s="20"/>
      <c r="E350" s="20"/>
      <c r="F350" s="20"/>
      <c r="G350" s="20"/>
      <c r="H350" s="19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</row>
    <row r="351" spans="1:32" x14ac:dyDescent="0.35">
      <c r="A351" s="20"/>
      <c r="B351" s="20"/>
      <c r="C351" s="20"/>
      <c r="D351" s="20"/>
      <c r="E351" s="20"/>
      <c r="F351" s="20"/>
      <c r="G351" s="20"/>
      <c r="H351" s="19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</row>
    <row r="352" spans="1:32" x14ac:dyDescent="0.35">
      <c r="A352" s="20"/>
      <c r="B352" s="20"/>
      <c r="C352" s="20"/>
      <c r="D352" s="20"/>
      <c r="E352" s="20"/>
      <c r="F352" s="20"/>
      <c r="G352" s="20"/>
      <c r="H352" s="19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</row>
    <row r="353" spans="1:32" x14ac:dyDescent="0.35">
      <c r="A353" s="20"/>
      <c r="B353" s="20"/>
      <c r="C353" s="20"/>
      <c r="D353" s="20"/>
      <c r="E353" s="20"/>
      <c r="F353" s="20"/>
      <c r="G353" s="20"/>
      <c r="H353" s="19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</row>
    <row r="354" spans="1:32" x14ac:dyDescent="0.35">
      <c r="A354" s="20"/>
      <c r="B354" s="20"/>
      <c r="C354" s="20"/>
      <c r="D354" s="20"/>
      <c r="E354" s="20"/>
      <c r="F354" s="20"/>
      <c r="G354" s="20"/>
      <c r="H354" s="19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</row>
    <row r="355" spans="1:32" x14ac:dyDescent="0.35">
      <c r="A355" s="20"/>
      <c r="B355" s="20"/>
      <c r="C355" s="20"/>
      <c r="D355" s="20"/>
      <c r="E355" s="20"/>
      <c r="F355" s="20"/>
      <c r="G355" s="20"/>
      <c r="H355" s="19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</row>
    <row r="356" spans="1:32" x14ac:dyDescent="0.35">
      <c r="A356" s="20"/>
      <c r="B356" s="20"/>
      <c r="C356" s="20"/>
      <c r="D356" s="20"/>
      <c r="E356" s="20"/>
      <c r="F356" s="20"/>
      <c r="G356" s="20"/>
      <c r="H356" s="19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</row>
    <row r="357" spans="1:32" x14ac:dyDescent="0.35">
      <c r="A357" s="20"/>
      <c r="B357" s="20"/>
      <c r="C357" s="20"/>
      <c r="D357" s="20"/>
      <c r="E357" s="20"/>
      <c r="F357" s="20"/>
      <c r="G357" s="20"/>
      <c r="H357" s="19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</row>
    <row r="358" spans="1:32" x14ac:dyDescent="0.35">
      <c r="A358" s="20"/>
      <c r="B358" s="20"/>
      <c r="C358" s="20"/>
      <c r="D358" s="20"/>
      <c r="E358" s="20"/>
      <c r="F358" s="20"/>
      <c r="G358" s="20"/>
      <c r="H358" s="19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</row>
    <row r="359" spans="1:32" x14ac:dyDescent="0.35">
      <c r="A359" s="20"/>
      <c r="B359" s="20"/>
      <c r="C359" s="20"/>
      <c r="D359" s="20"/>
      <c r="E359" s="20"/>
      <c r="F359" s="20"/>
      <c r="G359" s="20"/>
      <c r="H359" s="19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</row>
    <row r="360" spans="1:32" x14ac:dyDescent="0.35">
      <c r="A360" s="20"/>
      <c r="B360" s="20"/>
      <c r="C360" s="20"/>
      <c r="D360" s="20"/>
      <c r="E360" s="20"/>
      <c r="F360" s="20"/>
      <c r="G360" s="20"/>
      <c r="H360" s="19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</row>
    <row r="361" spans="1:32" x14ac:dyDescent="0.35">
      <c r="A361" s="20"/>
      <c r="B361" s="20"/>
      <c r="C361" s="20"/>
      <c r="D361" s="20"/>
      <c r="E361" s="20"/>
      <c r="F361" s="20"/>
      <c r="G361" s="20"/>
      <c r="H361" s="19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</row>
    <row r="362" spans="1:32" x14ac:dyDescent="0.35">
      <c r="A362" s="20"/>
      <c r="B362" s="20"/>
      <c r="C362" s="20"/>
      <c r="D362" s="20"/>
      <c r="E362" s="20"/>
      <c r="F362" s="20"/>
      <c r="G362" s="20"/>
      <c r="H362" s="19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</row>
    <row r="363" spans="1:32" x14ac:dyDescent="0.35">
      <c r="A363" s="20"/>
      <c r="B363" s="20"/>
      <c r="C363" s="20"/>
      <c r="D363" s="20"/>
      <c r="E363" s="20"/>
      <c r="F363" s="20"/>
      <c r="G363" s="20"/>
      <c r="H363" s="19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</row>
    <row r="364" spans="1:32" x14ac:dyDescent="0.35">
      <c r="A364" s="20"/>
      <c r="B364" s="20"/>
      <c r="C364" s="20"/>
      <c r="D364" s="20"/>
      <c r="E364" s="20"/>
      <c r="F364" s="20"/>
      <c r="G364" s="20"/>
      <c r="H364" s="19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</row>
  </sheetData>
  <mergeCells count="6">
    <mergeCell ref="W1:Z1"/>
    <mergeCell ref="A1:C1"/>
    <mergeCell ref="D1:G1"/>
    <mergeCell ref="H1:J1"/>
    <mergeCell ref="K1:O1"/>
    <mergeCell ref="P1:V1"/>
  </mergeCells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7CF1-AAF9-4966-95FD-CF1D1EDB4A67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64A68-5991-457B-820B-FFC17D4C07E6}">
  <dimension ref="A1:H77"/>
  <sheetViews>
    <sheetView topLeftCell="C1" workbookViewId="0">
      <selection activeCell="B59" sqref="B59:H59"/>
    </sheetView>
  </sheetViews>
  <sheetFormatPr defaultRowHeight="14.5" x14ac:dyDescent="0.35"/>
  <cols>
    <col min="1" max="1" width="20.54296875" style="14" bestFit="1" customWidth="1"/>
    <col min="2" max="2" width="32.36328125" customWidth="1"/>
    <col min="3" max="3" width="19" bestFit="1" customWidth="1"/>
    <col min="4" max="4" width="17.08984375" bestFit="1" customWidth="1"/>
    <col min="5" max="5" width="21.08984375" bestFit="1" customWidth="1"/>
    <col min="6" max="6" width="19" bestFit="1" customWidth="1"/>
    <col min="7" max="7" width="24.26953125" bestFit="1" customWidth="1"/>
    <col min="8" max="8" width="15.54296875" customWidth="1"/>
  </cols>
  <sheetData>
    <row r="1" spans="1:7" s="14" customFormat="1" x14ac:dyDescent="0.35">
      <c r="A1" s="13" t="s">
        <v>1</v>
      </c>
      <c r="B1" s="13" t="s">
        <v>153</v>
      </c>
      <c r="C1" s="13" t="s">
        <v>154</v>
      </c>
      <c r="D1" s="13" t="s">
        <v>155</v>
      </c>
      <c r="E1" s="13" t="s">
        <v>14</v>
      </c>
      <c r="F1" s="13" t="s">
        <v>151</v>
      </c>
      <c r="G1" s="13" t="s">
        <v>152</v>
      </c>
    </row>
    <row r="2" spans="1:7" x14ac:dyDescent="0.35">
      <c r="A2" s="13" t="s">
        <v>57</v>
      </c>
      <c r="B2" s="12" t="s">
        <v>58</v>
      </c>
      <c r="C2" s="12" t="s">
        <v>60</v>
      </c>
      <c r="D2" s="12" t="s">
        <v>62</v>
      </c>
      <c r="E2" s="12" t="s">
        <v>64</v>
      </c>
      <c r="F2" s="12" t="s">
        <v>66</v>
      </c>
      <c r="G2" s="12" t="s">
        <v>68</v>
      </c>
    </row>
    <row r="3" spans="1:7" x14ac:dyDescent="0.35">
      <c r="A3" s="13"/>
      <c r="B3" s="12" t="s">
        <v>59</v>
      </c>
      <c r="C3" s="12" t="s">
        <v>61</v>
      </c>
      <c r="D3" s="12" t="s">
        <v>63</v>
      </c>
      <c r="E3" s="12" t="s">
        <v>65</v>
      </c>
      <c r="F3" s="12" t="s">
        <v>67</v>
      </c>
      <c r="G3" s="12" t="s">
        <v>69</v>
      </c>
    </row>
    <row r="4" spans="1:7" x14ac:dyDescent="0.35">
      <c r="A4" s="13" t="s">
        <v>70</v>
      </c>
      <c r="B4" s="12" t="s">
        <v>71</v>
      </c>
      <c r="C4" s="12" t="s">
        <v>72</v>
      </c>
      <c r="D4" s="12" t="s">
        <v>73</v>
      </c>
      <c r="E4" s="12" t="s">
        <v>74</v>
      </c>
      <c r="F4" s="12" t="s">
        <v>75</v>
      </c>
      <c r="G4" s="12" t="s">
        <v>76</v>
      </c>
    </row>
    <row r="5" spans="1:7" x14ac:dyDescent="0.35">
      <c r="A5" s="13" t="s">
        <v>77</v>
      </c>
      <c r="B5" s="12" t="s">
        <v>78</v>
      </c>
      <c r="C5" s="12" t="s">
        <v>79</v>
      </c>
      <c r="D5" s="12" t="s">
        <v>80</v>
      </c>
      <c r="E5" s="12" t="s">
        <v>80</v>
      </c>
      <c r="F5" s="12" t="s">
        <v>81</v>
      </c>
      <c r="G5" s="12" t="s">
        <v>82</v>
      </c>
    </row>
    <row r="6" spans="1:7" x14ac:dyDescent="0.35">
      <c r="A6" s="13" t="s">
        <v>1</v>
      </c>
      <c r="B6" s="12" t="s">
        <v>83</v>
      </c>
      <c r="C6" s="12" t="s">
        <v>84</v>
      </c>
      <c r="D6" s="12" t="s">
        <v>85</v>
      </c>
      <c r="E6" s="12" t="s">
        <v>86</v>
      </c>
      <c r="F6" s="12" t="s">
        <v>87</v>
      </c>
      <c r="G6" s="12" t="s">
        <v>88</v>
      </c>
    </row>
    <row r="7" spans="1:7" ht="29" x14ac:dyDescent="0.35">
      <c r="A7" s="13" t="s">
        <v>89</v>
      </c>
      <c r="B7" s="12" t="s">
        <v>90</v>
      </c>
      <c r="C7" s="12" t="s">
        <v>92</v>
      </c>
      <c r="D7" s="12" t="s">
        <v>94</v>
      </c>
      <c r="E7" s="12" t="s">
        <v>96</v>
      </c>
      <c r="F7" s="12" t="s">
        <v>98</v>
      </c>
      <c r="G7" s="12" t="s">
        <v>100</v>
      </c>
    </row>
    <row r="8" spans="1:7" x14ac:dyDescent="0.35">
      <c r="A8" s="13"/>
      <c r="B8" s="12" t="s">
        <v>91</v>
      </c>
      <c r="C8" s="12" t="s">
        <v>93</v>
      </c>
      <c r="D8" s="12" t="s">
        <v>95</v>
      </c>
      <c r="E8" s="12" t="s">
        <v>97</v>
      </c>
      <c r="F8" s="12" t="s">
        <v>99</v>
      </c>
      <c r="G8" s="12" t="s">
        <v>101</v>
      </c>
    </row>
    <row r="9" spans="1:7" x14ac:dyDescent="0.35">
      <c r="A9" s="13" t="s">
        <v>102</v>
      </c>
      <c r="B9" s="12" t="s">
        <v>103</v>
      </c>
      <c r="C9" s="12"/>
      <c r="D9" s="12" t="s">
        <v>104</v>
      </c>
      <c r="E9" s="12" t="s">
        <v>105</v>
      </c>
      <c r="F9" s="12" t="s">
        <v>106</v>
      </c>
      <c r="G9" s="12" t="s">
        <v>107</v>
      </c>
    </row>
    <row r="10" spans="1:7" x14ac:dyDescent="0.35">
      <c r="A10" s="13" t="s">
        <v>108</v>
      </c>
      <c r="B10" s="12" t="s">
        <v>109</v>
      </c>
      <c r="C10" s="12" t="s">
        <v>110</v>
      </c>
      <c r="D10" s="12">
        <v>31.3</v>
      </c>
      <c r="E10" s="12" t="s">
        <v>111</v>
      </c>
      <c r="F10" s="12" t="s">
        <v>112</v>
      </c>
      <c r="G10" s="12">
        <v>32.799999999999997</v>
      </c>
    </row>
    <row r="11" spans="1:7" x14ac:dyDescent="0.35">
      <c r="A11" s="13" t="s">
        <v>113</v>
      </c>
      <c r="B11" s="12" t="s">
        <v>114</v>
      </c>
      <c r="C11" s="12" t="s">
        <v>115</v>
      </c>
      <c r="D11" s="12" t="s">
        <v>114</v>
      </c>
      <c r="E11" s="12"/>
      <c r="F11" s="12" t="s">
        <v>116</v>
      </c>
      <c r="G11" s="12" t="s">
        <v>117</v>
      </c>
    </row>
    <row r="12" spans="1:7" x14ac:dyDescent="0.35">
      <c r="A12" s="13" t="s">
        <v>118</v>
      </c>
      <c r="B12" s="12" t="s">
        <v>119</v>
      </c>
      <c r="C12" s="12" t="s">
        <v>122</v>
      </c>
      <c r="D12" s="12" t="s">
        <v>123</v>
      </c>
      <c r="E12" s="12" t="s">
        <v>125</v>
      </c>
      <c r="F12" s="12" t="s">
        <v>126</v>
      </c>
      <c r="G12" s="12" t="s">
        <v>127</v>
      </c>
    </row>
    <row r="13" spans="1:7" x14ac:dyDescent="0.35">
      <c r="A13" s="13"/>
      <c r="B13" s="12" t="s">
        <v>120</v>
      </c>
      <c r="C13" s="12"/>
      <c r="D13" s="12" t="s">
        <v>124</v>
      </c>
      <c r="E13" s="12"/>
      <c r="F13" s="12"/>
      <c r="G13" s="12"/>
    </row>
    <row r="14" spans="1:7" x14ac:dyDescent="0.35">
      <c r="A14" s="13"/>
      <c r="B14" s="12" t="s">
        <v>121</v>
      </c>
      <c r="C14" s="12"/>
      <c r="D14" s="12"/>
      <c r="E14" s="12"/>
      <c r="F14" s="12"/>
      <c r="G14" s="12"/>
    </row>
    <row r="15" spans="1:7" x14ac:dyDescent="0.35">
      <c r="A15" s="13" t="s">
        <v>149</v>
      </c>
      <c r="B15" s="12" t="s">
        <v>128</v>
      </c>
      <c r="C15" s="12" t="s">
        <v>130</v>
      </c>
      <c r="D15" s="12" t="s">
        <v>132</v>
      </c>
      <c r="E15" s="12" t="s">
        <v>134</v>
      </c>
      <c r="F15" s="12" t="s">
        <v>136</v>
      </c>
      <c r="G15" s="12" t="s">
        <v>138</v>
      </c>
    </row>
    <row r="16" spans="1:7" x14ac:dyDescent="0.35">
      <c r="A16" s="13"/>
      <c r="B16" s="12" t="s">
        <v>129</v>
      </c>
      <c r="C16" s="12" t="s">
        <v>131</v>
      </c>
      <c r="D16" s="12" t="s">
        <v>133</v>
      </c>
      <c r="E16" s="12" t="s">
        <v>135</v>
      </c>
      <c r="F16" s="12" t="s">
        <v>137</v>
      </c>
      <c r="G16" s="12" t="s">
        <v>139</v>
      </c>
    </row>
    <row r="17" spans="1:8" x14ac:dyDescent="0.35">
      <c r="A17" s="13" t="s">
        <v>150</v>
      </c>
      <c r="B17" s="12" t="s">
        <v>140</v>
      </c>
      <c r="C17" s="12" t="s">
        <v>142</v>
      </c>
      <c r="D17" s="12" t="s">
        <v>144</v>
      </c>
      <c r="E17" s="12" t="s">
        <v>146</v>
      </c>
      <c r="F17" s="12" t="s">
        <v>146</v>
      </c>
      <c r="G17" s="12"/>
    </row>
    <row r="18" spans="1:8" x14ac:dyDescent="0.35">
      <c r="A18" s="13"/>
      <c r="B18" s="12" t="s">
        <v>141</v>
      </c>
      <c r="C18" s="12" t="s">
        <v>143</v>
      </c>
      <c r="D18" s="12" t="s">
        <v>145</v>
      </c>
      <c r="E18" s="12" t="s">
        <v>147</v>
      </c>
      <c r="F18" s="12" t="s">
        <v>148</v>
      </c>
      <c r="G18" s="12"/>
    </row>
    <row r="21" spans="1:8" x14ac:dyDescent="0.35">
      <c r="A21" s="13" t="s">
        <v>1</v>
      </c>
      <c r="B21" s="12" t="s">
        <v>156</v>
      </c>
      <c r="C21" s="12" t="s">
        <v>157</v>
      </c>
      <c r="D21" s="12" t="s">
        <v>158</v>
      </c>
      <c r="E21" s="12" t="s">
        <v>159</v>
      </c>
      <c r="F21" s="12" t="s">
        <v>192</v>
      </c>
      <c r="G21" s="12" t="s">
        <v>193</v>
      </c>
      <c r="H21" s="12" t="s">
        <v>160</v>
      </c>
    </row>
    <row r="22" spans="1:8" x14ac:dyDescent="0.35">
      <c r="A22" s="13" t="s">
        <v>161</v>
      </c>
      <c r="B22" s="17">
        <v>32295</v>
      </c>
      <c r="C22" s="12" t="s">
        <v>162</v>
      </c>
      <c r="D22" s="12" t="s">
        <v>163</v>
      </c>
      <c r="E22" s="12">
        <v>4.68</v>
      </c>
      <c r="F22" s="12" t="s">
        <v>164</v>
      </c>
      <c r="G22" s="12" t="s">
        <v>165</v>
      </c>
      <c r="H22" s="12" t="s">
        <v>124</v>
      </c>
    </row>
    <row r="23" spans="1:8" x14ac:dyDescent="0.35">
      <c r="A23" s="13" t="s">
        <v>166</v>
      </c>
      <c r="B23" s="17">
        <v>34925</v>
      </c>
      <c r="C23" s="12" t="s">
        <v>162</v>
      </c>
      <c r="D23" s="12" t="s">
        <v>163</v>
      </c>
      <c r="E23" s="12">
        <v>4.5</v>
      </c>
      <c r="F23" s="12" t="s">
        <v>167</v>
      </c>
      <c r="G23" s="12" t="s">
        <v>168</v>
      </c>
      <c r="H23" s="12" t="s">
        <v>124</v>
      </c>
    </row>
    <row r="24" spans="1:8" x14ac:dyDescent="0.35">
      <c r="A24" s="13" t="s">
        <v>6</v>
      </c>
      <c r="B24" s="17">
        <v>33929</v>
      </c>
      <c r="C24" s="12" t="s">
        <v>169</v>
      </c>
      <c r="D24" s="12" t="s">
        <v>163</v>
      </c>
      <c r="E24" s="12">
        <v>4.4400000000000004</v>
      </c>
      <c r="F24" s="12" t="s">
        <v>167</v>
      </c>
      <c r="G24" s="12" t="s">
        <v>168</v>
      </c>
      <c r="H24" s="12" t="s">
        <v>124</v>
      </c>
    </row>
    <row r="25" spans="1:8" x14ac:dyDescent="0.35">
      <c r="A25" s="13" t="s">
        <v>170</v>
      </c>
      <c r="B25" s="17">
        <v>36304</v>
      </c>
      <c r="C25" s="12" t="s">
        <v>171</v>
      </c>
      <c r="D25" s="12" t="s">
        <v>163</v>
      </c>
      <c r="E25" s="12">
        <v>5.43</v>
      </c>
      <c r="F25" s="12" t="s">
        <v>167</v>
      </c>
      <c r="G25" s="12" t="s">
        <v>168</v>
      </c>
      <c r="H25" s="12" t="s">
        <v>124</v>
      </c>
    </row>
    <row r="26" spans="1:8" x14ac:dyDescent="0.35">
      <c r="A26" s="13" t="s">
        <v>2</v>
      </c>
      <c r="B26" s="17">
        <v>35226</v>
      </c>
      <c r="C26" s="12" t="s">
        <v>172</v>
      </c>
      <c r="D26" s="12" t="s">
        <v>163</v>
      </c>
      <c r="E26" s="12">
        <v>4.18</v>
      </c>
      <c r="F26" s="12" t="s">
        <v>173</v>
      </c>
      <c r="G26" s="12" t="s">
        <v>168</v>
      </c>
      <c r="H26" s="12" t="s">
        <v>123</v>
      </c>
    </row>
    <row r="27" spans="1:8" x14ac:dyDescent="0.35">
      <c r="A27" s="13" t="s">
        <v>4</v>
      </c>
      <c r="B27" s="17">
        <v>35226</v>
      </c>
      <c r="C27" s="12" t="s">
        <v>172</v>
      </c>
      <c r="D27" s="12" t="s">
        <v>163</v>
      </c>
      <c r="E27" s="12">
        <v>4.18</v>
      </c>
      <c r="F27" s="12" t="s">
        <v>173</v>
      </c>
      <c r="G27" s="12" t="s">
        <v>168</v>
      </c>
      <c r="H27" s="12" t="s">
        <v>123</v>
      </c>
    </row>
    <row r="28" spans="1:8" x14ac:dyDescent="0.35">
      <c r="A28" s="13" t="s">
        <v>7</v>
      </c>
      <c r="B28" s="17">
        <v>33937</v>
      </c>
      <c r="C28" s="12" t="s">
        <v>174</v>
      </c>
      <c r="D28" s="12" t="s">
        <v>163</v>
      </c>
      <c r="E28" s="12">
        <v>5.73</v>
      </c>
      <c r="F28" s="12" t="s">
        <v>175</v>
      </c>
      <c r="G28" s="12" t="s">
        <v>176</v>
      </c>
      <c r="H28" s="12" t="s">
        <v>177</v>
      </c>
    </row>
    <row r="29" spans="1:8" x14ac:dyDescent="0.35">
      <c r="A29" s="13" t="s">
        <v>8</v>
      </c>
      <c r="B29" s="17">
        <v>35291</v>
      </c>
      <c r="C29" s="12" t="s">
        <v>178</v>
      </c>
      <c r="D29" s="12" t="s">
        <v>163</v>
      </c>
      <c r="E29" s="12">
        <v>5.73</v>
      </c>
      <c r="F29" s="12" t="s">
        <v>179</v>
      </c>
      <c r="G29" s="12" t="s">
        <v>176</v>
      </c>
      <c r="H29" s="12" t="s">
        <v>177</v>
      </c>
    </row>
    <row r="30" spans="1:8" x14ac:dyDescent="0.35">
      <c r="A30" s="13" t="s">
        <v>180</v>
      </c>
      <c r="B30" s="17">
        <v>42175</v>
      </c>
      <c r="C30" s="12" t="s">
        <v>181</v>
      </c>
      <c r="D30" s="12" t="s">
        <v>163</v>
      </c>
      <c r="E30" s="12">
        <v>5.68</v>
      </c>
      <c r="F30" s="12" t="s">
        <v>182</v>
      </c>
      <c r="G30" s="12" t="s">
        <v>183</v>
      </c>
      <c r="H30" s="12" t="s">
        <v>184</v>
      </c>
    </row>
    <row r="31" spans="1:8" ht="29" x14ac:dyDescent="0.35">
      <c r="A31" s="13" t="s">
        <v>185</v>
      </c>
      <c r="B31" s="17">
        <v>33937</v>
      </c>
      <c r="C31" s="12" t="s">
        <v>186</v>
      </c>
      <c r="D31" s="12" t="s">
        <v>187</v>
      </c>
      <c r="E31" s="12">
        <v>4.2</v>
      </c>
      <c r="F31" s="12" t="s">
        <v>167</v>
      </c>
      <c r="G31" s="12" t="s">
        <v>188</v>
      </c>
      <c r="H31" s="12" t="s">
        <v>189</v>
      </c>
    </row>
    <row r="32" spans="1:8" ht="29" x14ac:dyDescent="0.35">
      <c r="A32" s="13" t="s">
        <v>190</v>
      </c>
      <c r="B32" s="17">
        <v>33937</v>
      </c>
      <c r="C32" s="12" t="s">
        <v>191</v>
      </c>
      <c r="D32" s="12" t="s">
        <v>187</v>
      </c>
      <c r="E32" s="12">
        <v>4.71</v>
      </c>
      <c r="F32" s="12" t="s">
        <v>182</v>
      </c>
      <c r="G32" s="12" t="s">
        <v>176</v>
      </c>
      <c r="H32" s="12" t="s">
        <v>189</v>
      </c>
    </row>
    <row r="35" spans="1:4" x14ac:dyDescent="0.35">
      <c r="A35" s="14" t="s">
        <v>196</v>
      </c>
      <c r="B35" t="s">
        <v>118</v>
      </c>
      <c r="C35" t="s">
        <v>197</v>
      </c>
      <c r="D35" t="s">
        <v>198</v>
      </c>
    </row>
    <row r="36" spans="1:4" x14ac:dyDescent="0.35">
      <c r="A36" s="14" t="s">
        <v>199</v>
      </c>
      <c r="B36" t="s">
        <v>200</v>
      </c>
      <c r="C36" t="s">
        <v>201</v>
      </c>
      <c r="D36" t="s">
        <v>202</v>
      </c>
    </row>
    <row r="37" spans="1:4" x14ac:dyDescent="0.35">
      <c r="A37" s="14" t="s">
        <v>203</v>
      </c>
      <c r="B37" t="s">
        <v>204</v>
      </c>
      <c r="C37" t="s">
        <v>205</v>
      </c>
      <c r="D37" t="s">
        <v>206</v>
      </c>
    </row>
    <row r="38" spans="1:4" x14ac:dyDescent="0.35">
      <c r="A38" s="14" t="s">
        <v>207</v>
      </c>
      <c r="B38" t="s">
        <v>208</v>
      </c>
      <c r="C38" t="s">
        <v>209</v>
      </c>
      <c r="D38" t="s">
        <v>210</v>
      </c>
    </row>
    <row r="40" spans="1:4" x14ac:dyDescent="0.35">
      <c r="A40" s="14" t="s">
        <v>1</v>
      </c>
      <c r="B40" t="s">
        <v>214</v>
      </c>
      <c r="C40" t="s">
        <v>215</v>
      </c>
      <c r="D40" t="s">
        <v>118</v>
      </c>
    </row>
    <row r="41" spans="1:4" x14ac:dyDescent="0.35">
      <c r="A41" s="14" t="s">
        <v>216</v>
      </c>
      <c r="B41" t="s">
        <v>217</v>
      </c>
      <c r="C41" t="s">
        <v>218</v>
      </c>
      <c r="D41" t="s">
        <v>219</v>
      </c>
    </row>
    <row r="42" spans="1:4" x14ac:dyDescent="0.35">
      <c r="A42" s="14" t="s">
        <v>220</v>
      </c>
      <c r="B42" t="s">
        <v>217</v>
      </c>
      <c r="C42" t="s">
        <v>221</v>
      </c>
      <c r="D42" t="s">
        <v>222</v>
      </c>
    </row>
    <row r="43" spans="1:4" x14ac:dyDescent="0.35">
      <c r="A43" s="14" t="s">
        <v>223</v>
      </c>
      <c r="B43" t="s">
        <v>224</v>
      </c>
      <c r="C43" t="s">
        <v>225</v>
      </c>
      <c r="D43" t="s">
        <v>226</v>
      </c>
    </row>
    <row r="44" spans="1:4" x14ac:dyDescent="0.35">
      <c r="A44" s="14" t="s">
        <v>227</v>
      </c>
      <c r="B44" t="s">
        <v>228</v>
      </c>
      <c r="C44" t="s">
        <v>225</v>
      </c>
      <c r="D44" t="s">
        <v>229</v>
      </c>
    </row>
    <row r="45" spans="1:4" x14ac:dyDescent="0.35">
      <c r="A45" s="14" t="s">
        <v>230</v>
      </c>
      <c r="B45" t="s">
        <v>231</v>
      </c>
      <c r="C45" t="s">
        <v>232</v>
      </c>
      <c r="D45" t="s">
        <v>233</v>
      </c>
    </row>
    <row r="46" spans="1:4" x14ac:dyDescent="0.35">
      <c r="A46" s="14" t="s">
        <v>234</v>
      </c>
      <c r="B46" t="s">
        <v>231</v>
      </c>
      <c r="C46" t="s">
        <v>232</v>
      </c>
      <c r="D46" t="s">
        <v>235</v>
      </c>
    </row>
    <row r="47" spans="1:4" x14ac:dyDescent="0.35">
      <c r="A47" s="14" t="s">
        <v>236</v>
      </c>
      <c r="B47" t="s">
        <v>231</v>
      </c>
      <c r="C47" t="s">
        <v>237</v>
      </c>
      <c r="D47" t="s">
        <v>219</v>
      </c>
    </row>
    <row r="48" spans="1:4" x14ac:dyDescent="0.35">
      <c r="A48" s="14" t="s">
        <v>238</v>
      </c>
      <c r="B48" t="s">
        <v>231</v>
      </c>
      <c r="C48" t="s">
        <v>232</v>
      </c>
      <c r="D48" t="s">
        <v>239</v>
      </c>
    </row>
    <row r="49" spans="1:8" x14ac:dyDescent="0.35">
      <c r="A49" s="14" t="s">
        <v>240</v>
      </c>
      <c r="B49" t="s">
        <v>231</v>
      </c>
      <c r="C49" t="s">
        <v>237</v>
      </c>
      <c r="D49" t="s">
        <v>241</v>
      </c>
    </row>
    <row r="50" spans="1:8" x14ac:dyDescent="0.35">
      <c r="A50" s="14" t="s">
        <v>242</v>
      </c>
      <c r="B50" t="s">
        <v>231</v>
      </c>
      <c r="C50" t="s">
        <v>232</v>
      </c>
      <c r="D50" t="s">
        <v>219</v>
      </c>
    </row>
    <row r="51" spans="1:8" x14ac:dyDescent="0.35">
      <c r="A51" s="14" t="s">
        <v>243</v>
      </c>
      <c r="B51" t="s">
        <v>231</v>
      </c>
      <c r="C51" t="s">
        <v>237</v>
      </c>
      <c r="D51" t="s">
        <v>219</v>
      </c>
    </row>
    <row r="52" spans="1:8" x14ac:dyDescent="0.35">
      <c r="A52" s="14" t="s">
        <v>244</v>
      </c>
      <c r="B52" t="s">
        <v>245</v>
      </c>
      <c r="C52" t="s">
        <v>246</v>
      </c>
      <c r="D52" t="s">
        <v>247</v>
      </c>
    </row>
    <row r="53" spans="1:8" x14ac:dyDescent="0.35">
      <c r="A53" s="14" t="s">
        <v>248</v>
      </c>
      <c r="B53" t="s">
        <v>249</v>
      </c>
      <c r="C53" t="s">
        <v>250</v>
      </c>
      <c r="D53" t="s">
        <v>247</v>
      </c>
    </row>
    <row r="54" spans="1:8" x14ac:dyDescent="0.35">
      <c r="A54" s="14" t="s">
        <v>251</v>
      </c>
      <c r="B54" t="s">
        <v>252</v>
      </c>
      <c r="C54" t="s">
        <v>253</v>
      </c>
      <c r="D54" t="s">
        <v>254</v>
      </c>
    </row>
    <row r="55" spans="1:8" x14ac:dyDescent="0.35">
      <c r="A55" s="14" t="s">
        <v>255</v>
      </c>
      <c r="B55" t="s">
        <v>256</v>
      </c>
      <c r="C55" t="s">
        <v>257</v>
      </c>
      <c r="D55" t="s">
        <v>258</v>
      </c>
    </row>
    <row r="56" spans="1:8" x14ac:dyDescent="0.35">
      <c r="A56" s="14" t="s">
        <v>259</v>
      </c>
      <c r="B56" t="s">
        <v>260</v>
      </c>
      <c r="C56" t="s">
        <v>261</v>
      </c>
      <c r="D56" t="s">
        <v>262</v>
      </c>
    </row>
    <row r="59" spans="1:8" x14ac:dyDescent="0.35">
      <c r="A59" s="14" t="s">
        <v>265</v>
      </c>
      <c r="B59" t="s">
        <v>335</v>
      </c>
      <c r="C59" t="s">
        <v>336</v>
      </c>
      <c r="D59" t="s">
        <v>337</v>
      </c>
      <c r="E59" t="s">
        <v>338</v>
      </c>
      <c r="F59" t="s">
        <v>339</v>
      </c>
      <c r="G59" t="s">
        <v>266</v>
      </c>
      <c r="H59" t="s">
        <v>340</v>
      </c>
    </row>
    <row r="60" spans="1:8" x14ac:dyDescent="0.35">
      <c r="A60" s="14" t="s">
        <v>267</v>
      </c>
      <c r="B60" t="s">
        <v>268</v>
      </c>
      <c r="D60" t="s">
        <v>269</v>
      </c>
      <c r="G60" t="s">
        <v>270</v>
      </c>
    </row>
    <row r="61" spans="1:8" x14ac:dyDescent="0.35">
      <c r="A61" s="14" t="s">
        <v>102</v>
      </c>
      <c r="B61" t="s">
        <v>271</v>
      </c>
      <c r="C61" s="18">
        <v>0.50069444444444444</v>
      </c>
      <c r="D61" t="s">
        <v>272</v>
      </c>
      <c r="E61" s="18">
        <v>0.50069444444444444</v>
      </c>
      <c r="G61" s="18">
        <v>0.37569444444444444</v>
      </c>
    </row>
    <row r="62" spans="1:8" x14ac:dyDescent="0.35">
      <c r="A62" s="14" t="s">
        <v>273</v>
      </c>
      <c r="B62" t="s">
        <v>274</v>
      </c>
      <c r="C62" t="s">
        <v>275</v>
      </c>
      <c r="D62" t="s">
        <v>276</v>
      </c>
      <c r="E62" t="s">
        <v>277</v>
      </c>
      <c r="F62" t="s">
        <v>278</v>
      </c>
      <c r="G62" t="s">
        <v>279</v>
      </c>
      <c r="H62" t="s">
        <v>280</v>
      </c>
    </row>
    <row r="63" spans="1:8" x14ac:dyDescent="0.35">
      <c r="A63" s="14" t="s">
        <v>54</v>
      </c>
      <c r="B63" t="s">
        <v>281</v>
      </c>
      <c r="G63" t="s">
        <v>282</v>
      </c>
    </row>
    <row r="64" spans="1:8" x14ac:dyDescent="0.35">
      <c r="A64" s="14" t="s">
        <v>55</v>
      </c>
      <c r="B64" t="s">
        <v>283</v>
      </c>
    </row>
    <row r="65" spans="1:8" x14ac:dyDescent="0.35">
      <c r="A65" s="14" t="s">
        <v>56</v>
      </c>
      <c r="B65" t="s">
        <v>284</v>
      </c>
    </row>
    <row r="66" spans="1:8" x14ac:dyDescent="0.35">
      <c r="A66" s="14" t="s">
        <v>118</v>
      </c>
      <c r="B66" t="s">
        <v>285</v>
      </c>
      <c r="C66" t="s">
        <v>286</v>
      </c>
      <c r="D66" t="s">
        <v>287</v>
      </c>
      <c r="E66" t="s">
        <v>288</v>
      </c>
      <c r="F66" t="s">
        <v>289</v>
      </c>
      <c r="G66" t="s">
        <v>290</v>
      </c>
      <c r="H66" t="s">
        <v>291</v>
      </c>
    </row>
    <row r="67" spans="1:8" x14ac:dyDescent="0.35">
      <c r="A67" s="14" t="s">
        <v>292</v>
      </c>
      <c r="B67" s="15">
        <v>42394</v>
      </c>
      <c r="C67" t="s">
        <v>293</v>
      </c>
      <c r="D67" s="15">
        <v>42566</v>
      </c>
      <c r="E67" s="15">
        <v>43214</v>
      </c>
      <c r="F67" t="s">
        <v>294</v>
      </c>
      <c r="G67" t="s">
        <v>294</v>
      </c>
      <c r="H67" t="s">
        <v>295</v>
      </c>
    </row>
    <row r="68" spans="1:8" x14ac:dyDescent="0.35">
      <c r="A68" s="14" t="s">
        <v>296</v>
      </c>
      <c r="B68" t="s">
        <v>297</v>
      </c>
      <c r="D68" t="s">
        <v>298</v>
      </c>
      <c r="G68" t="s">
        <v>299</v>
      </c>
    </row>
    <row r="69" spans="1:8" x14ac:dyDescent="0.35">
      <c r="A69" s="14" t="s">
        <v>300</v>
      </c>
      <c r="B69" t="s">
        <v>301</v>
      </c>
      <c r="D69" t="s">
        <v>302</v>
      </c>
      <c r="G69" t="s">
        <v>303</v>
      </c>
    </row>
    <row r="70" spans="1:8" x14ac:dyDescent="0.35">
      <c r="A70" s="14" t="s">
        <v>158</v>
      </c>
      <c r="B70" t="s">
        <v>304</v>
      </c>
      <c r="D70" t="s">
        <v>305</v>
      </c>
      <c r="G70" t="s">
        <v>306</v>
      </c>
    </row>
    <row r="71" spans="1:8" x14ac:dyDescent="0.35">
      <c r="A71" s="14" t="s">
        <v>307</v>
      </c>
      <c r="B71" t="s">
        <v>308</v>
      </c>
      <c r="C71" t="s">
        <v>311</v>
      </c>
      <c r="D71" t="s">
        <v>312</v>
      </c>
      <c r="E71" t="s">
        <v>315</v>
      </c>
      <c r="H71" t="s">
        <v>318</v>
      </c>
    </row>
    <row r="72" spans="1:8" x14ac:dyDescent="0.35">
      <c r="B72" t="s">
        <v>309</v>
      </c>
      <c r="D72" t="s">
        <v>313</v>
      </c>
      <c r="E72" t="s">
        <v>316</v>
      </c>
    </row>
    <row r="73" spans="1:8" x14ac:dyDescent="0.35">
      <c r="B73" t="s">
        <v>310</v>
      </c>
      <c r="D73" t="s">
        <v>314</v>
      </c>
      <c r="E73" t="s">
        <v>317</v>
      </c>
    </row>
    <row r="74" spans="1:8" x14ac:dyDescent="0.35">
      <c r="A74" s="14" t="s">
        <v>319</v>
      </c>
      <c r="B74" t="s">
        <v>320</v>
      </c>
      <c r="C74">
        <v>5.01</v>
      </c>
      <c r="D74" t="s">
        <v>321</v>
      </c>
      <c r="E74" t="s">
        <v>322</v>
      </c>
      <c r="G74">
        <v>5.05</v>
      </c>
    </row>
    <row r="75" spans="1:8" x14ac:dyDescent="0.35">
      <c r="A75" s="14" t="s">
        <v>323</v>
      </c>
      <c r="B75" t="s">
        <v>324</v>
      </c>
      <c r="D75" t="s">
        <v>325</v>
      </c>
      <c r="G75" t="s">
        <v>326</v>
      </c>
    </row>
    <row r="76" spans="1:8" x14ac:dyDescent="0.35">
      <c r="A76" s="14" t="s">
        <v>327</v>
      </c>
      <c r="B76" t="s">
        <v>328</v>
      </c>
      <c r="D76" t="s">
        <v>329</v>
      </c>
      <c r="G76" t="s">
        <v>330</v>
      </c>
    </row>
    <row r="77" spans="1:8" x14ac:dyDescent="0.35">
      <c r="A77" s="14" t="s">
        <v>331</v>
      </c>
      <c r="B77" t="s">
        <v>332</v>
      </c>
      <c r="D77" t="s">
        <v>333</v>
      </c>
      <c r="G77" t="s">
        <v>334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"/>
  <sheetViews>
    <sheetView workbookViewId="0">
      <selection activeCell="B1" sqref="B1"/>
    </sheetView>
  </sheetViews>
  <sheetFormatPr defaultRowHeight="14.5" x14ac:dyDescent="0.35"/>
  <cols>
    <col min="1" max="1" width="13.453125" customWidth="1"/>
    <col min="6" max="7" width="11.453125" customWidth="1"/>
  </cols>
  <sheetData>
    <row r="1" spans="1:33" s="4" customFormat="1" ht="25.5" customHeight="1" x14ac:dyDescent="0.35">
      <c r="A1" s="3" t="s">
        <v>364</v>
      </c>
      <c r="D1" s="5"/>
      <c r="E1" s="5"/>
      <c r="F1" s="6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spans="1:33" x14ac:dyDescent="0.35">
      <c r="D2" s="1"/>
      <c r="F2" s="2"/>
    </row>
    <row r="3" spans="1:33" ht="16" customHeight="1" x14ac:dyDescent="0.35">
      <c r="D3" s="1"/>
      <c r="F3" s="2"/>
      <c r="P3" s="4"/>
    </row>
    <row r="4" spans="1:33" x14ac:dyDescent="0.35">
      <c r="D4" s="1"/>
      <c r="F4" s="2"/>
    </row>
    <row r="5" spans="1:33" x14ac:dyDescent="0.35">
      <c r="D5" s="1"/>
      <c r="F5" s="2"/>
    </row>
    <row r="6" spans="1:33" x14ac:dyDescent="0.35">
      <c r="C6" s="7"/>
      <c r="D6" s="1"/>
    </row>
    <row r="7" spans="1:33" x14ac:dyDescent="0.35">
      <c r="C7" s="7"/>
      <c r="D7" s="1"/>
    </row>
    <row r="8" spans="1:33" x14ac:dyDescent="0.35">
      <c r="C8" s="7"/>
      <c r="D8" s="1"/>
    </row>
    <row r="9" spans="1:33" x14ac:dyDescent="0.35">
      <c r="C9" s="7"/>
      <c r="D9" s="1"/>
    </row>
    <row r="10" spans="1:33" x14ac:dyDescent="0.35">
      <c r="C10" s="7"/>
      <c r="D10" s="1"/>
    </row>
    <row r="11" spans="1:33" x14ac:dyDescent="0.35">
      <c r="C11" s="7"/>
      <c r="D11" s="1"/>
    </row>
    <row r="12" spans="1:33" x14ac:dyDescent="0.35">
      <c r="C12" s="8"/>
      <c r="D12" s="1"/>
      <c r="F12" s="2"/>
      <c r="G12" s="9"/>
    </row>
    <row r="13" spans="1:33" x14ac:dyDescent="0.35">
      <c r="C13" s="8"/>
      <c r="D13" s="1"/>
      <c r="F13" s="2"/>
      <c r="G13" s="9"/>
    </row>
    <row r="14" spans="1:33" x14ac:dyDescent="0.35">
      <c r="C14" s="8"/>
      <c r="D14" s="1"/>
      <c r="F14" s="2"/>
      <c r="G14" s="9"/>
    </row>
    <row r="15" spans="1:33" x14ac:dyDescent="0.35">
      <c r="C15" s="8"/>
      <c r="D15" s="1"/>
      <c r="F15" s="2"/>
      <c r="G15" s="9"/>
    </row>
    <row r="16" spans="1:33" x14ac:dyDescent="0.35">
      <c r="C16" s="8"/>
      <c r="D16" s="1"/>
      <c r="F16" s="2"/>
      <c r="G16" s="9"/>
    </row>
    <row r="17" spans="3:18" x14ac:dyDescent="0.35">
      <c r="C17" s="8"/>
      <c r="D17" s="1"/>
      <c r="F17" s="2"/>
      <c r="G17" s="9"/>
    </row>
    <row r="18" spans="3:18" x14ac:dyDescent="0.35">
      <c r="C18" s="8"/>
      <c r="D18" s="1"/>
      <c r="F18" s="2"/>
      <c r="G18" s="9"/>
    </row>
    <row r="19" spans="3:18" x14ac:dyDescent="0.35">
      <c r="C19" s="8"/>
      <c r="D19" s="1"/>
      <c r="F19" s="2"/>
      <c r="G19" s="9"/>
    </row>
    <row r="20" spans="3:18" x14ac:dyDescent="0.35">
      <c r="C20" s="8"/>
      <c r="D20" s="1"/>
      <c r="F20" s="2"/>
      <c r="G20" s="9"/>
      <c r="R2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SV_cycle</vt:lpstr>
      <vt:lpstr>Engine_SV_EGT_data</vt:lpstr>
      <vt:lpstr>EngineData_Sources</vt:lpstr>
      <vt:lpstr>EngineTypeInfo_wiki</vt:lpstr>
      <vt:lpstr>EGTdecay_cycle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Smith</dc:creator>
  <cp:lastModifiedBy>Cassidy, Emma</cp:lastModifiedBy>
  <dcterms:created xsi:type="dcterms:W3CDTF">2015-06-05T18:17:20Z</dcterms:created>
  <dcterms:modified xsi:type="dcterms:W3CDTF">2026-07-27T17:45:05Z</dcterms:modified>
</cp:coreProperties>
</file>