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79bc981ad399937/Desktop/phdshit/ideas/FAST/^MExperimentPkg/"/>
    </mc:Choice>
  </mc:AlternateContent>
  <xr:revisionPtr revIDLastSave="210" documentId="11_F25DC773A252ABDACC1048AE315C4FCC5ADE58E9" xr6:coauthVersionLast="47" xr6:coauthVersionMax="47" xr10:uidLastSave="{F8BAB20A-941E-49B3-A625-96D6054D0F8C}"/>
  <bookViews>
    <workbookView xWindow="-110" yWindow="-110" windowWidth="25180" windowHeight="16140" xr2:uid="{00000000-000D-0000-FFFF-FFFF00000000}"/>
  </bookViews>
  <sheets>
    <sheet name="airport" sheetId="1" r:id="rId1"/>
    <sheet name="JetFuel" sheetId="3" r:id="rId2"/>
    <sheet name="Electricity" sheetId="4" r:id="rId3"/>
  </sheets>
  <definedNames>
    <definedName name="_xlnm._FilterDatabase" localSheetId="0" hidden="1">airport!$A$1:$C$1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E2" i="3"/>
  <c r="D2" i="3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2" i="4"/>
</calcChain>
</file>

<file path=xl/sharedStrings.xml><?xml version="1.0" encoding="utf-8"?>
<sst xmlns="http://schemas.openxmlformats.org/spreadsheetml/2006/main" count="410" uniqueCount="289">
  <si>
    <t>Airport Code</t>
  </si>
  <si>
    <t>CHS</t>
  </si>
  <si>
    <t>IAD</t>
  </si>
  <si>
    <t>SAT</t>
  </si>
  <si>
    <t>BDL</t>
  </si>
  <si>
    <t>IAH</t>
  </si>
  <si>
    <t>MSP</t>
  </si>
  <si>
    <t>DSM</t>
  </si>
  <si>
    <t>SDF</t>
  </si>
  <si>
    <t>BNA</t>
  </si>
  <si>
    <t>AUS</t>
  </si>
  <si>
    <t>LIT</t>
  </si>
  <si>
    <t>HRL</t>
  </si>
  <si>
    <t>MKE</t>
  </si>
  <si>
    <t>PHL</t>
  </si>
  <si>
    <t>MFE</t>
  </si>
  <si>
    <t>DTW</t>
  </si>
  <si>
    <t>MEM</t>
  </si>
  <si>
    <t>RNO</t>
  </si>
  <si>
    <t>CLT</t>
  </si>
  <si>
    <t>DFW</t>
  </si>
  <si>
    <t>PIT</t>
  </si>
  <si>
    <t>MAF</t>
  </si>
  <si>
    <t>CVG</t>
  </si>
  <si>
    <t>ATL</t>
  </si>
  <si>
    <t>RIC</t>
  </si>
  <si>
    <t>PNS</t>
  </si>
  <si>
    <t>PSP</t>
  </si>
  <si>
    <t>CMH</t>
  </si>
  <si>
    <t>JAX</t>
  </si>
  <si>
    <t>DCA</t>
  </si>
  <si>
    <t>STL</t>
  </si>
  <si>
    <t>TUS</t>
  </si>
  <si>
    <t>ORF</t>
  </si>
  <si>
    <t>LGA</t>
  </si>
  <si>
    <t>CRP</t>
  </si>
  <si>
    <t>OKC</t>
  </si>
  <si>
    <t>IND</t>
  </si>
  <si>
    <t>BHM</t>
  </si>
  <si>
    <t>ICT</t>
  </si>
  <si>
    <t>ELP</t>
  </si>
  <si>
    <t>SLC</t>
  </si>
  <si>
    <t>MTJ</t>
  </si>
  <si>
    <t>GSP</t>
  </si>
  <si>
    <t>ABQ</t>
  </si>
  <si>
    <t>CLE</t>
  </si>
  <si>
    <t>BZN</t>
  </si>
  <si>
    <t>BOI</t>
  </si>
  <si>
    <t>MSY</t>
  </si>
  <si>
    <t>MOB</t>
  </si>
  <si>
    <t>LFT</t>
  </si>
  <si>
    <t>HSV</t>
  </si>
  <si>
    <t>SAV</t>
  </si>
  <si>
    <t>BRO</t>
  </si>
  <si>
    <t>MCI</t>
  </si>
  <si>
    <t>LBB</t>
  </si>
  <si>
    <t>BOS</t>
  </si>
  <si>
    <t>COS</t>
  </si>
  <si>
    <t>RSW</t>
  </si>
  <si>
    <t>TUL</t>
  </si>
  <si>
    <t>OMA</t>
  </si>
  <si>
    <t>ECP</t>
  </si>
  <si>
    <t>XNA</t>
  </si>
  <si>
    <t>GRR</t>
  </si>
  <si>
    <t>DAY</t>
  </si>
  <si>
    <t>City</t>
  </si>
  <si>
    <t>Charleston</t>
  </si>
  <si>
    <t>Washington</t>
  </si>
  <si>
    <t>San Antonio</t>
  </si>
  <si>
    <t>Hartford</t>
  </si>
  <si>
    <t>Houston</t>
  </si>
  <si>
    <t>Minneapolis</t>
  </si>
  <si>
    <t>Des Moines</t>
  </si>
  <si>
    <t>Louisville</t>
  </si>
  <si>
    <t>Nashville</t>
  </si>
  <si>
    <t>Austin</t>
  </si>
  <si>
    <t>Little Rock</t>
  </si>
  <si>
    <t>San Benito</t>
  </si>
  <si>
    <t>Milwaukee</t>
  </si>
  <si>
    <t>Philadelphia</t>
  </si>
  <si>
    <t>Edinburg</t>
  </si>
  <si>
    <t>Detroit</t>
  </si>
  <si>
    <t>Memphis</t>
  </si>
  <si>
    <t>Reno</t>
  </si>
  <si>
    <t>Charlotte</t>
  </si>
  <si>
    <t>Dallas/Fort Worth</t>
  </si>
  <si>
    <t>Pittsburgh</t>
  </si>
  <si>
    <t>Midland/Odessa</t>
  </si>
  <si>
    <t>Cincinnati</t>
  </si>
  <si>
    <t>Atlanta</t>
  </si>
  <si>
    <t>Richmond</t>
  </si>
  <si>
    <t>Pensacola</t>
  </si>
  <si>
    <t>Palm Springs</t>
  </si>
  <si>
    <t>Columbus</t>
  </si>
  <si>
    <t>Jacksonville</t>
  </si>
  <si>
    <t>St. Louis</t>
  </si>
  <si>
    <t>Tucson</t>
  </si>
  <si>
    <t>Norfolk</t>
  </si>
  <si>
    <t>New York</t>
  </si>
  <si>
    <t>Corpus Christi</t>
  </si>
  <si>
    <t>Oklahoma City</t>
  </si>
  <si>
    <t>Indianapolis</t>
  </si>
  <si>
    <t>Birmingham</t>
  </si>
  <si>
    <t>Wichita</t>
  </si>
  <si>
    <t>El Paso</t>
  </si>
  <si>
    <t>Salt Lake City</t>
  </si>
  <si>
    <t>Montrose/Delta</t>
  </si>
  <si>
    <t>Greer</t>
  </si>
  <si>
    <t>Albuquerque</t>
  </si>
  <si>
    <t>Cleveland</t>
  </si>
  <si>
    <t>Bozeman</t>
  </si>
  <si>
    <t>Boise</t>
  </si>
  <si>
    <t>New Orleans</t>
  </si>
  <si>
    <t>Mobile</t>
  </si>
  <si>
    <t>Lafayette</t>
  </si>
  <si>
    <t>Huntsville</t>
  </si>
  <si>
    <t>Savannah</t>
  </si>
  <si>
    <t>Brownsville</t>
  </si>
  <si>
    <t>Kansas City</t>
  </si>
  <si>
    <t>Lubbock</t>
  </si>
  <si>
    <t>Boston</t>
  </si>
  <si>
    <t>Colorado Springs</t>
  </si>
  <si>
    <t>Fort Myers</t>
  </si>
  <si>
    <t>Tulsa</t>
  </si>
  <si>
    <t>Omaha</t>
  </si>
  <si>
    <t>Panama City</t>
  </si>
  <si>
    <t>Fayetteville</t>
  </si>
  <si>
    <t>Grand Rapids</t>
  </si>
  <si>
    <t>Dayton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</si>
  <si>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</si>
  <si>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</si>
  <si>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</si>
  <si>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</si>
  <si>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</si>
  <si>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</si>
  <si>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</si>
  <si>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</si>
  <si>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</si>
  <si>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</si>
  <si>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</si>
  <si>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</si>
  <si>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</si>
  <si>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</si>
  <si>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</si>
  <si>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</si>
  <si>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</si>
  <si>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</si>
  <si>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</si>
  <si>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</si>
  <si>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</si>
  <si>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</si>
  <si>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</si>
  <si>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</si>
  <si>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</si>
  <si>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</si>
  <si>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</si>
  <si>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</si>
  <si>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</si>
  <si>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</si>
  <si>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</si>
  <si>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</si>
  <si>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</si>
  <si>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</si>
  <si>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</si>
  <si>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</si>
  <si>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</si>
  <si>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</si>
  <si>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</si>
  <si>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</si>
  <si>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</si>
  <si>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</si>
  <si>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</si>
  <si>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</si>
  <si>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</si>
  <si>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</si>
  <si>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</si>
  <si>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</si>
  <si>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</si>
  <si>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State / D.C.</t>
  </si>
  <si>
    <t>Abbreviation</t>
  </si>
  <si>
    <t>AL</t>
  </si>
  <si>
    <t>AK</t>
  </si>
  <si>
    <t>AZ</t>
  </si>
  <si>
    <t>AR</t>
  </si>
  <si>
    <t>CA</t>
  </si>
  <si>
    <t>CO</t>
  </si>
  <si>
    <t>CT</t>
  </si>
  <si>
    <t>DE</t>
  </si>
  <si>
    <t>District of Columbia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</si>
  <si>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</si>
  <si>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</si>
  <si>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</si>
  <si>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</si>
  <si>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</si>
  <si>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</si>
  <si>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</si>
  <si>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</si>
  <si>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</si>
  <si>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</si>
  <si>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</si>
  <si>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</si>
  <si>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</si>
  <si>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</si>
  <si>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</si>
  <si>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</si>
  <si>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</si>
  <si>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</si>
  <si>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</si>
  <si>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</si>
  <si>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</si>
  <si>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</si>
  <si>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</si>
  <si>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</si>
  <si>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</si>
  <si>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</si>
  <si>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</si>
  <si>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</si>
  <si>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</si>
  <si>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</si>
  <si>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</si>
  <si>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</si>
  <si>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</si>
  <si>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</si>
  <si>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</si>
  <si>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</si>
  <si>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</si>
  <si>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</si>
  <si>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</si>
  <si>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</si>
  <si>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</si>
  <si>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</si>
  <si>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</si>
  <si>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Jet Fuel per $MMBtu</t>
  </si>
  <si>
    <t>Electricty Cents per kWh</t>
  </si>
  <si>
    <t>$ per kWh</t>
  </si>
  <si>
    <t>per btu</t>
  </si>
  <si>
    <t xml:space="preserve"> Alabama</t>
  </si>
  <si>
    <t xml:space="preserve"> Alaska</t>
  </si>
  <si>
    <t xml:space="preserve"> Arizona</t>
  </si>
  <si>
    <t xml:space="preserve"> Arkansas</t>
  </si>
  <si>
    <t xml:space="preserve"> California</t>
  </si>
  <si>
    <t xml:space="preserve"> Colorado</t>
  </si>
  <si>
    <t xml:space="preserve"> Connecticut</t>
  </si>
  <si>
    <t xml:space="preserve"> Delaware</t>
  </si>
  <si>
    <t xml:space="preserve"> District Of Columbia</t>
  </si>
  <si>
    <t xml:space="preserve"> Florida</t>
  </si>
  <si>
    <t xml:space="preserve"> Georgia</t>
  </si>
  <si>
    <t xml:space="preserve"> Hawaii</t>
  </si>
  <si>
    <t xml:space="preserve"> Idaho</t>
  </si>
  <si>
    <t xml:space="preserve"> Illinois</t>
  </si>
  <si>
    <t xml:space="preserve"> Indiana</t>
  </si>
  <si>
    <t xml:space="preserve"> Iowa</t>
  </si>
  <si>
    <t xml:space="preserve"> Kansas</t>
  </si>
  <si>
    <t xml:space="preserve"> Kentucky</t>
  </si>
  <si>
    <t xml:space="preserve"> Louisiana</t>
  </si>
  <si>
    <t xml:space="preserve"> Maine</t>
  </si>
  <si>
    <t xml:space="preserve"> Maryland</t>
  </si>
  <si>
    <t xml:space="preserve"> Massachusetts</t>
  </si>
  <si>
    <t xml:space="preserve"> Michigan</t>
  </si>
  <si>
    <t xml:space="preserve"> Minnesota</t>
  </si>
  <si>
    <t xml:space="preserve"> Mississippi</t>
  </si>
  <si>
    <t xml:space="preserve"> Missouri</t>
  </si>
  <si>
    <t xml:space="preserve"> Montana</t>
  </si>
  <si>
    <t xml:space="preserve"> Nebraska</t>
  </si>
  <si>
    <t xml:space="preserve"> Nevada</t>
  </si>
  <si>
    <t xml:space="preserve"> New Hampshire</t>
  </si>
  <si>
    <t xml:space="preserve"> New Jersey</t>
  </si>
  <si>
    <t xml:space="preserve"> New Mexico</t>
  </si>
  <si>
    <t xml:space="preserve"> New York</t>
  </si>
  <si>
    <t xml:space="preserve"> North Carolina</t>
  </si>
  <si>
    <t xml:space="preserve"> North Dakota</t>
  </si>
  <si>
    <t xml:space="preserve"> Ohio</t>
  </si>
  <si>
    <t xml:space="preserve"> Oklahoma</t>
  </si>
  <si>
    <t xml:space="preserve"> Oregon</t>
  </si>
  <si>
    <t xml:space="preserve"> Pennsylvania</t>
  </si>
  <si>
    <t xml:space="preserve"> Rhode Island</t>
  </si>
  <si>
    <t xml:space="preserve"> South Carolina</t>
  </si>
  <si>
    <t xml:space="preserve"> South Dakota</t>
  </si>
  <si>
    <t xml:space="preserve"> Tennessee</t>
  </si>
  <si>
    <t xml:space="preserve"> Texas</t>
  </si>
  <si>
    <t xml:space="preserve"> Utah</t>
  </si>
  <si>
    <t xml:space="preserve"> Vermont</t>
  </si>
  <si>
    <t xml:space="preserve"> Virginia</t>
  </si>
  <si>
    <t xml:space="preserve"> Washington</t>
  </si>
  <si>
    <t xml:space="preserve"> West Virginia</t>
  </si>
  <si>
    <t xml:space="preserve"> Wisconsin</t>
  </si>
  <si>
    <t xml:space="preserve"> Wyoming</t>
  </si>
  <si>
    <t>Jet Fuel pricekWh</t>
  </si>
  <si>
    <t>Electricity pricekWh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</si>
</sst>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F3" sqref="F3"/>
    </sheetView>
  </sheetViews>
  <sheetFormatPr defaultRowHeight="14.5" x14ac:dyDescent="0.35"/>
  <cols>
    <col min="1" max="1" width="18.7265625" customWidth="1"/>
    <col min="2" max="2" width="27.08984375" customWidth="1"/>
    <col min="3" max="3" width="13" customWidth="1"/>
    <col min="4" max="4" width="16.453125" customWidth="1"/>
    <col min="5" max="5" width="16.26953125" customWidth="1"/>
  </cols>
  <sheetData>
    <row r="1" spans="1:5" s="1" customFormat="1" x14ac:dyDescent="0.35">
      <c r="A1" s="1" t="s">
        <v>0</v>
      </c>
      <c r="B1" s="1" t="s">
        <v>65</v>
      </c>
      <c r="C1" s="1" t="s">
        <v>129</v>
      </c>
      <c r="D1" s="1" t="s">
        <v>287</v>
      </c>
      <c r="E1" s="1" t="s">
        <v>288</v>
      </c>
    </row>
    <row r="2" spans="1:5" x14ac:dyDescent="0.35">
      <c r="A2" t="s">
        <v>38</v>
      </c>
      <c r="B2" t="s">
        <v>102</v>
      </c>
      <c r="C2" t="s">
        <v>180</v>
      </c>
      <c r="D2" s="5">
        <f>_xlfn.XLOOKUP(C2, JetFuel!$B$2:$B$52, JetFuel!$E$2:$E$52)</f>
        <v>7.0904269199999995E-2</v>
      </c>
      <c r="E2" s="5">
        <f>_xlfn.XLOOKUP(C2, Electricity!B$2:B$52, Electricity!D$2:D$52)</f>
        <v>0.13570000000000002</v>
      </c>
    </row>
    <row r="3" spans="1:5" x14ac:dyDescent="0.35">
      <c r="A3" t="s">
        <v>51</v>
      </c>
      <c r="B3" t="s">
        <v>115</v>
      </c>
      <c r="C3" t="s">
        <v>180</v>
      </c>
      <c r="D3" s="5">
        <f>_xlfn.XLOOKUP(C3, JetFuel!$B$2:$B$52, JetFuel!$E$2:$E$52)</f>
        <v>7.0904269199999995E-2</v>
      </c>
      <c r="E3" s="5">
        <f>_xlfn.XLOOKUP(C3, Electricity!B$2:B$52, Electricity!D$2:D$52)</f>
        <v>0.13570000000000002</v>
      </c>
    </row>
    <row r="4" spans="1:5" x14ac:dyDescent="0.35">
      <c r="A4" t="s">
        <v>49</v>
      </c>
      <c r="B4" t="s">
        <v>113</v>
      </c>
      <c r="C4" t="s">
        <v>180</v>
      </c>
      <c r="D4" s="5">
        <f>_xlfn.XLOOKUP(C4, JetFuel!$B$2:$B$52, JetFuel!$E$2:$E$52)</f>
        <v>7.0904269199999995E-2</v>
      </c>
      <c r="E4" s="5">
        <f>_xlfn.XLOOKUP(C4, Electricity!B$2:B$52, Electricity!D$2:D$52)</f>
        <v>0.13570000000000002</v>
      </c>
    </row>
    <row r="5" spans="1:5" x14ac:dyDescent="0.35">
      <c r="A5" t="s">
        <v>11</v>
      </c>
      <c r="B5" t="s">
        <v>76</v>
      </c>
      <c r="C5" t="s">
        <v>183</v>
      </c>
      <c r="D5" s="5">
        <f>_xlfn.XLOOKUP(C5, JetFuel!$B$2:$B$52, JetFuel!$E$2:$E$52)</f>
        <v>7.0801904999999998E-2</v>
      </c>
      <c r="E5" s="5">
        <f>_xlfn.XLOOKUP(C5, Electricity!B$2:B$52, Electricity!D$2:D$52)</f>
        <v>0.10220000000000001</v>
      </c>
    </row>
    <row r="6" spans="1:5" x14ac:dyDescent="0.35">
      <c r="A6" t="s">
        <v>62</v>
      </c>
      <c r="B6" t="s">
        <v>126</v>
      </c>
      <c r="C6" t="s">
        <v>183</v>
      </c>
      <c r="D6" s="5">
        <f>_xlfn.XLOOKUP(C6, JetFuel!$B$2:$B$52, JetFuel!$E$2:$E$52)</f>
        <v>7.0801904999999998E-2</v>
      </c>
      <c r="E6" s="5">
        <f>_xlfn.XLOOKUP(C6, Electricity!B$2:B$52, Electricity!D$2:D$52)</f>
        <v>0.10220000000000001</v>
      </c>
    </row>
    <row r="7" spans="1:5" x14ac:dyDescent="0.35">
      <c r="A7" t="s">
        <v>32</v>
      </c>
      <c r="B7" t="s">
        <v>96</v>
      </c>
      <c r="C7" t="s">
        <v>182</v>
      </c>
      <c r="D7" s="5">
        <f>_xlfn.XLOOKUP(C7, JetFuel!$B$2:$B$52, JetFuel!$E$2:$E$52)</f>
        <v>7.1177240399999994E-2</v>
      </c>
      <c r="E7" s="5">
        <f>_xlfn.XLOOKUP(C7, Electricity!B$2:B$52, Electricity!D$2:D$52)</f>
        <v>0.12359999999999999</v>
      </c>
    </row>
    <row r="8" spans="1:5" x14ac:dyDescent="0.35">
      <c r="A8" t="s">
        <v>27</v>
      </c>
      <c r="B8" t="s">
        <v>92</v>
      </c>
      <c r="C8" t="s">
        <v>184</v>
      </c>
      <c r="D8" s="5">
        <f>_xlfn.XLOOKUP(C8, JetFuel!$B$2:$B$52, JetFuel!$E$2:$E$52)</f>
        <v>7.1279604600000004E-2</v>
      </c>
      <c r="E8" s="5">
        <f>_xlfn.XLOOKUP(C8, Electricity!B$2:B$52, Electricity!D$2:D$52)</f>
        <v>0.25290000000000001</v>
      </c>
    </row>
    <row r="9" spans="1:5" x14ac:dyDescent="0.35">
      <c r="A9" t="s">
        <v>57</v>
      </c>
      <c r="B9" t="s">
        <v>121</v>
      </c>
      <c r="C9" t="s">
        <v>185</v>
      </c>
      <c r="D9" s="5">
        <f>_xlfn.XLOOKUP(C9, JetFuel!$B$2:$B$52, JetFuel!$E$2:$E$52)</f>
        <v>7.3224524400000005E-2</v>
      </c>
      <c r="E9" s="5">
        <f>_xlfn.XLOOKUP(C9, Electricity!B$2:B$52, Electricity!D$2:D$52)</f>
        <v>0.11840000000000001</v>
      </c>
    </row>
    <row r="10" spans="1:5" x14ac:dyDescent="0.35">
      <c r="A10" t="s">
        <v>42</v>
      </c>
      <c r="B10" t="s">
        <v>106</v>
      </c>
      <c r="C10" t="s">
        <v>185</v>
      </c>
      <c r="D10" s="5">
        <f>_xlfn.XLOOKUP(C10, JetFuel!$B$2:$B$52, JetFuel!$E$2:$E$52)</f>
        <v>7.3224524400000005E-2</v>
      </c>
      <c r="E10" s="5">
        <f>_xlfn.XLOOKUP(C10, Electricity!B$2:B$52, Electricity!D$2:D$52)</f>
        <v>0.11840000000000001</v>
      </c>
    </row>
    <row r="11" spans="1:5" x14ac:dyDescent="0.35">
      <c r="A11" t="s">
        <v>4</v>
      </c>
      <c r="B11" t="s">
        <v>69</v>
      </c>
      <c r="C11" t="s">
        <v>186</v>
      </c>
      <c r="D11" s="5">
        <f>_xlfn.XLOOKUP(C11, JetFuel!$B$2:$B$52, JetFuel!$E$2:$E$52)</f>
        <v>7.3941073800000007E-2</v>
      </c>
      <c r="E11" s="5">
        <f>_xlfn.XLOOKUP(C11, Electricity!B$2:B$52, Electricity!D$2:D$52)</f>
        <v>0.21350000000000002</v>
      </c>
    </row>
    <row r="12" spans="1:5" x14ac:dyDescent="0.35">
      <c r="A12" t="s">
        <v>30</v>
      </c>
      <c r="B12" t="s">
        <v>67</v>
      </c>
      <c r="C12" t="s">
        <v>189</v>
      </c>
      <c r="D12" s="5">
        <f>_xlfn.XLOOKUP(C12, JetFuel!$B$2:$B$52, JetFuel!$E$2:$E$52)</f>
        <v>7.3224524400000005E-2</v>
      </c>
      <c r="E12" s="5">
        <f>_xlfn.XLOOKUP(C12, Electricity!B$2:B$52, Electricity!D$2:D$52)</f>
        <v>0.17019999999999999</v>
      </c>
    </row>
    <row r="13" spans="1:5" x14ac:dyDescent="0.35">
      <c r="A13" t="s">
        <v>2</v>
      </c>
      <c r="B13" t="s">
        <v>67</v>
      </c>
      <c r="C13" t="s">
        <v>189</v>
      </c>
      <c r="D13" s="5">
        <f>_xlfn.XLOOKUP(C13, JetFuel!$B$2:$B$52, JetFuel!$E$2:$E$52)</f>
        <v>7.3224524400000005E-2</v>
      </c>
      <c r="E13" s="5">
        <f>_xlfn.XLOOKUP(C13, Electricity!B$2:B$52, Electricity!D$2:D$52)</f>
        <v>0.17019999999999999</v>
      </c>
    </row>
    <row r="14" spans="1:5" x14ac:dyDescent="0.35">
      <c r="A14" t="s">
        <v>61</v>
      </c>
      <c r="B14" t="s">
        <v>125</v>
      </c>
      <c r="C14" t="s">
        <v>190</v>
      </c>
      <c r="D14" s="5">
        <f>_xlfn.XLOOKUP(C14, JetFuel!$B$2:$B$52, JetFuel!$E$2:$E$52)</f>
        <v>6.8891106600000002E-2</v>
      </c>
      <c r="E14" s="5">
        <f>_xlfn.XLOOKUP(C14, Electricity!B$2:B$52, Electricity!D$2:D$52)</f>
        <v>0.111</v>
      </c>
    </row>
    <row r="15" spans="1:5" x14ac:dyDescent="0.35">
      <c r="A15" t="s">
        <v>29</v>
      </c>
      <c r="B15" t="s">
        <v>94</v>
      </c>
      <c r="C15" t="s">
        <v>190</v>
      </c>
      <c r="D15" s="5">
        <f>_xlfn.XLOOKUP(C15, JetFuel!$B$2:$B$52, JetFuel!$E$2:$E$52)</f>
        <v>6.8891106600000002E-2</v>
      </c>
      <c r="E15" s="5">
        <f>_xlfn.XLOOKUP(C15, Electricity!B$2:B$52, Electricity!D$2:D$52)</f>
        <v>0.111</v>
      </c>
    </row>
    <row r="16" spans="1:5" x14ac:dyDescent="0.35">
      <c r="A16" t="s">
        <v>26</v>
      </c>
      <c r="B16" t="s">
        <v>91</v>
      </c>
      <c r="C16" t="s">
        <v>190</v>
      </c>
      <c r="D16" s="5">
        <f>_xlfn.XLOOKUP(C16, JetFuel!$B$2:$B$52, JetFuel!$E$2:$E$52)</f>
        <v>6.8891106600000002E-2</v>
      </c>
      <c r="E16" s="5">
        <f>_xlfn.XLOOKUP(C16, Electricity!B$2:B$52, Electricity!D$2:D$52)</f>
        <v>0.111</v>
      </c>
    </row>
    <row r="17" spans="1:5" x14ac:dyDescent="0.35">
      <c r="A17" t="s">
        <v>58</v>
      </c>
      <c r="B17" t="s">
        <v>122</v>
      </c>
      <c r="C17" t="s">
        <v>190</v>
      </c>
      <c r="D17" s="5">
        <f>_xlfn.XLOOKUP(C17, JetFuel!$B$2:$B$52, JetFuel!$E$2:$E$52)</f>
        <v>6.8891106600000002E-2</v>
      </c>
      <c r="E17" s="5">
        <f>_xlfn.XLOOKUP(C17, Electricity!B$2:B$52, Electricity!D$2:D$52)</f>
        <v>0.111</v>
      </c>
    </row>
    <row r="18" spans="1:5" x14ac:dyDescent="0.35">
      <c r="A18" t="s">
        <v>24</v>
      </c>
      <c r="B18" t="s">
        <v>89</v>
      </c>
      <c r="C18" t="s">
        <v>191</v>
      </c>
      <c r="D18" s="5">
        <f>_xlfn.XLOOKUP(C18, JetFuel!$B$2:$B$52, JetFuel!$E$2:$E$52)</f>
        <v>6.9198199200000005E-2</v>
      </c>
      <c r="E18" s="5">
        <f>_xlfn.XLOOKUP(C18, Electricity!B$2:B$52, Electricity!D$2:D$52)</f>
        <v>0.1109</v>
      </c>
    </row>
    <row r="19" spans="1:5" x14ac:dyDescent="0.35">
      <c r="A19" t="s">
        <v>52</v>
      </c>
      <c r="B19" t="s">
        <v>116</v>
      </c>
      <c r="C19" t="s">
        <v>191</v>
      </c>
      <c r="D19" s="5">
        <f>_xlfn.XLOOKUP(C19, JetFuel!$B$2:$B$52, JetFuel!$E$2:$E$52)</f>
        <v>6.9198199200000005E-2</v>
      </c>
      <c r="E19" s="5">
        <f>_xlfn.XLOOKUP(C19, Electricity!B$2:B$52, Electricity!D$2:D$52)</f>
        <v>0.1109</v>
      </c>
    </row>
    <row r="20" spans="1:5" x14ac:dyDescent="0.35">
      <c r="A20" t="s">
        <v>7</v>
      </c>
      <c r="B20" t="s">
        <v>72</v>
      </c>
      <c r="C20" t="s">
        <v>196</v>
      </c>
      <c r="D20" s="5">
        <f>_xlfn.XLOOKUP(C20, JetFuel!$B$2:$B$52, JetFuel!$E$2:$E$52)</f>
        <v>7.1927911199999986E-2</v>
      </c>
      <c r="E20" s="5">
        <f>_xlfn.XLOOKUP(C20, Electricity!B$2:B$52, Electricity!D$2:D$52)</f>
        <v>0.10349999999999999</v>
      </c>
    </row>
    <row r="21" spans="1:5" x14ac:dyDescent="0.35">
      <c r="A21" t="s">
        <v>47</v>
      </c>
      <c r="B21" t="s">
        <v>111</v>
      </c>
      <c r="C21" t="s">
        <v>193</v>
      </c>
      <c r="D21" s="5">
        <f>_xlfn.XLOOKUP(C21, JetFuel!$B$2:$B$52, JetFuel!$E$2:$E$52)</f>
        <v>7.5203565599999994E-2</v>
      </c>
      <c r="E21" s="5">
        <f>_xlfn.XLOOKUP(C21, Electricity!B$2:B$52, Electricity!D$2:D$52)</f>
        <v>9.1999999999999998E-2</v>
      </c>
    </row>
    <row r="22" spans="1:5" x14ac:dyDescent="0.35">
      <c r="A22" t="s">
        <v>37</v>
      </c>
      <c r="B22" t="s">
        <v>101</v>
      </c>
      <c r="C22" t="s">
        <v>195</v>
      </c>
      <c r="D22" s="5">
        <f>_xlfn.XLOOKUP(C22, JetFuel!$B$2:$B$52, JetFuel!$E$2:$E$52)</f>
        <v>7.0460690999999992E-2</v>
      </c>
      <c r="E22" s="5">
        <f>_xlfn.XLOOKUP(C22, Electricity!B$2:B$52, Electricity!D$2:D$52)</f>
        <v>0.12619999999999998</v>
      </c>
    </row>
    <row r="23" spans="1:5" x14ac:dyDescent="0.35">
      <c r="A23" t="s">
        <v>39</v>
      </c>
      <c r="B23" t="s">
        <v>103</v>
      </c>
      <c r="C23" t="s">
        <v>197</v>
      </c>
      <c r="D23" s="5">
        <f>_xlfn.XLOOKUP(C23, JetFuel!$B$2:$B$52, JetFuel!$E$2:$E$52)</f>
        <v>7.0801904999999998E-2</v>
      </c>
      <c r="E23" s="5">
        <f>_xlfn.XLOOKUP(C23, Electricity!B$2:B$52, Electricity!D$2:D$52)</f>
        <v>0.11230000000000001</v>
      </c>
    </row>
    <row r="24" spans="1:5" x14ac:dyDescent="0.35">
      <c r="A24" t="s">
        <v>8</v>
      </c>
      <c r="B24" t="s">
        <v>73</v>
      </c>
      <c r="C24" t="s">
        <v>198</v>
      </c>
      <c r="D24" s="5">
        <f>_xlfn.XLOOKUP(C24, JetFuel!$B$2:$B$52, JetFuel!$E$2:$E$52)</f>
        <v>6.99829914E-2</v>
      </c>
      <c r="E24" s="5">
        <f>_xlfn.XLOOKUP(C24, Electricity!B$2:B$52, Electricity!D$2:D$52)</f>
        <v>0.11630000000000001</v>
      </c>
    </row>
    <row r="25" spans="1:5" x14ac:dyDescent="0.35">
      <c r="A25" t="s">
        <v>50</v>
      </c>
      <c r="B25" t="s">
        <v>114</v>
      </c>
      <c r="C25" t="s">
        <v>199</v>
      </c>
      <c r="D25" s="5">
        <f>_xlfn.XLOOKUP(C25, JetFuel!$B$2:$B$52, JetFuel!$E$2:$E$52)</f>
        <v>7.0017112800000003E-2</v>
      </c>
      <c r="E25" s="5">
        <f>_xlfn.XLOOKUP(C25, Electricity!B$2:B$52, Electricity!D$2:D$52)</f>
        <v>0.10369999999999999</v>
      </c>
    </row>
    <row r="26" spans="1:5" x14ac:dyDescent="0.35">
      <c r="A26" t="s">
        <v>48</v>
      </c>
      <c r="B26" t="s">
        <v>112</v>
      </c>
      <c r="C26" t="s">
        <v>199</v>
      </c>
      <c r="D26" s="5">
        <f>_xlfn.XLOOKUP(C26, JetFuel!$B$2:$B$52, JetFuel!$E$2:$E$52)</f>
        <v>7.0017112800000003E-2</v>
      </c>
      <c r="E26" s="5">
        <f>_xlfn.XLOOKUP(C26, Electricity!B$2:B$52, Electricity!D$2:D$52)</f>
        <v>0.10369999999999999</v>
      </c>
    </row>
    <row r="27" spans="1:5" x14ac:dyDescent="0.35">
      <c r="A27" t="s">
        <v>56</v>
      </c>
      <c r="B27" t="s">
        <v>120</v>
      </c>
      <c r="C27" t="s">
        <v>202</v>
      </c>
      <c r="D27" s="5">
        <f>_xlfn.XLOOKUP(C27, JetFuel!$B$2:$B$52, JetFuel!$E$2:$E$52)</f>
        <v>7.3565738399999997E-2</v>
      </c>
      <c r="E27" s="5">
        <f>_xlfn.XLOOKUP(C27, Electricity!B$2:B$52, Electricity!D$2:D$52)</f>
        <v>0.20960000000000001</v>
      </c>
    </row>
    <row r="28" spans="1:5" x14ac:dyDescent="0.35">
      <c r="A28" t="s">
        <v>16</v>
      </c>
      <c r="B28" t="s">
        <v>81</v>
      </c>
      <c r="C28" t="s">
        <v>203</v>
      </c>
      <c r="D28" s="5">
        <f>_xlfn.XLOOKUP(C28, JetFuel!$B$2:$B$52, JetFuel!$E$2:$E$52)</f>
        <v>6.9402927599999997E-2</v>
      </c>
      <c r="E28" s="5">
        <f>_xlfn.XLOOKUP(C28, Electricity!B$2:B$52, Electricity!D$2:D$52)</f>
        <v>0.1399</v>
      </c>
    </row>
    <row r="29" spans="1:5" x14ac:dyDescent="0.35">
      <c r="A29" t="s">
        <v>63</v>
      </c>
      <c r="B29" t="s">
        <v>127</v>
      </c>
      <c r="C29" t="s">
        <v>203</v>
      </c>
      <c r="D29" s="5">
        <f>_xlfn.XLOOKUP(C29, JetFuel!$B$2:$B$52, JetFuel!$E$2:$E$52)</f>
        <v>6.9402927599999997E-2</v>
      </c>
      <c r="E29" s="5">
        <f>_xlfn.XLOOKUP(C29, Electricity!B$2:B$52, Electricity!D$2:D$52)</f>
        <v>0.1399</v>
      </c>
    </row>
    <row r="30" spans="1:5" x14ac:dyDescent="0.35">
      <c r="A30" t="s">
        <v>6</v>
      </c>
      <c r="B30" t="s">
        <v>71</v>
      </c>
      <c r="C30" t="s">
        <v>204</v>
      </c>
      <c r="D30" s="5">
        <f>_xlfn.XLOOKUP(C30, JetFuel!$B$2:$B$52, JetFuel!$E$2:$E$52)</f>
        <v>7.1757304199999997E-2</v>
      </c>
      <c r="E30" s="5">
        <f>_xlfn.XLOOKUP(C30, Electricity!B$2:B$52, Electricity!D$2:D$52)</f>
        <v>0.1222</v>
      </c>
    </row>
    <row r="31" spans="1:5" x14ac:dyDescent="0.35">
      <c r="A31" t="s">
        <v>54</v>
      </c>
      <c r="B31" t="s">
        <v>118</v>
      </c>
      <c r="C31" t="s">
        <v>206</v>
      </c>
      <c r="D31" s="5">
        <f>_xlfn.XLOOKUP(C31, JetFuel!$B$2:$B$52, JetFuel!$E$2:$E$52)</f>
        <v>7.0801904999999998E-2</v>
      </c>
      <c r="E31" s="5">
        <f>_xlfn.XLOOKUP(C31, Electricity!B$2:B$52, Electricity!D$2:D$52)</f>
        <v>0.10289999999999999</v>
      </c>
    </row>
    <row r="32" spans="1:5" x14ac:dyDescent="0.35">
      <c r="A32" t="s">
        <v>31</v>
      </c>
      <c r="B32" t="s">
        <v>95</v>
      </c>
      <c r="C32" t="s">
        <v>206</v>
      </c>
      <c r="D32" s="5">
        <f>_xlfn.XLOOKUP(C32, JetFuel!$B$2:$B$52, JetFuel!$E$2:$E$52)</f>
        <v>7.0801904999999998E-2</v>
      </c>
      <c r="E32" s="5">
        <f>_xlfn.XLOOKUP(C32, Electricity!B$2:B$52, Electricity!D$2:D$52)</f>
        <v>0.10289999999999999</v>
      </c>
    </row>
    <row r="33" spans="1:5" x14ac:dyDescent="0.35">
      <c r="A33" t="s">
        <v>46</v>
      </c>
      <c r="B33" t="s">
        <v>110</v>
      </c>
      <c r="C33" t="s">
        <v>207</v>
      </c>
      <c r="D33" s="5">
        <f>_xlfn.XLOOKUP(C33, JetFuel!$B$2:$B$52, JetFuel!$E$2:$E$52)</f>
        <v>7.5203565599999994E-2</v>
      </c>
      <c r="E33" s="5">
        <f>_xlfn.XLOOKUP(C33, Electricity!B$2:B$52, Electricity!D$2:D$52)</f>
        <v>0.11800000000000001</v>
      </c>
    </row>
    <row r="34" spans="1:5" x14ac:dyDescent="0.35">
      <c r="A34" t="s">
        <v>19</v>
      </c>
      <c r="B34" t="s">
        <v>84</v>
      </c>
      <c r="C34" t="s">
        <v>214</v>
      </c>
      <c r="D34" s="5">
        <f>_xlfn.XLOOKUP(C34, JetFuel!$B$2:$B$52, JetFuel!$E$2:$E$52)</f>
        <v>6.9232320599999994E-2</v>
      </c>
      <c r="E34" s="5">
        <f>_xlfn.XLOOKUP(C34, Electricity!B$2:B$52, Electricity!D$2:D$52)</f>
        <v>0.1056</v>
      </c>
    </row>
    <row r="35" spans="1:5" x14ac:dyDescent="0.35">
      <c r="A35" t="s">
        <v>60</v>
      </c>
      <c r="B35" t="s">
        <v>124</v>
      </c>
      <c r="C35" t="s">
        <v>208</v>
      </c>
      <c r="D35" s="5">
        <f>_xlfn.XLOOKUP(C35, JetFuel!$B$2:$B$52, JetFuel!$E$2:$E$52)</f>
        <v>7.0801904999999998E-2</v>
      </c>
      <c r="E35" s="5">
        <f>_xlfn.XLOOKUP(C35, Electricity!B$2:B$52, Electricity!D$2:D$52)</f>
        <v>8.6999999999999994E-2</v>
      </c>
    </row>
    <row r="36" spans="1:5" x14ac:dyDescent="0.35">
      <c r="A36" t="s">
        <v>44</v>
      </c>
      <c r="B36" t="s">
        <v>108</v>
      </c>
      <c r="C36" t="s">
        <v>212</v>
      </c>
      <c r="D36" s="5">
        <f>_xlfn.XLOOKUP(C36, JetFuel!$B$2:$B$52, JetFuel!$E$2:$E$52)</f>
        <v>7.0801904999999998E-2</v>
      </c>
      <c r="E36" s="5">
        <f>_xlfn.XLOOKUP(C36, Electricity!B$2:B$52, Electricity!D$2:D$52)</f>
        <v>0.1065</v>
      </c>
    </row>
    <row r="37" spans="1:5" x14ac:dyDescent="0.35">
      <c r="A37" t="s">
        <v>18</v>
      </c>
      <c r="B37" t="s">
        <v>83</v>
      </c>
      <c r="C37" t="s">
        <v>209</v>
      </c>
      <c r="D37" s="5">
        <f>_xlfn.XLOOKUP(C37, JetFuel!$B$2:$B$52, JetFuel!$E$2:$E$52)</f>
        <v>7.1620818599999983E-2</v>
      </c>
      <c r="E37" s="5">
        <f>_xlfn.XLOOKUP(C37, Electricity!B$2:B$52, Electricity!D$2:D$52)</f>
        <v>0.1047</v>
      </c>
    </row>
    <row r="38" spans="1:5" x14ac:dyDescent="0.35">
      <c r="A38" t="s">
        <v>34</v>
      </c>
      <c r="B38" t="s">
        <v>98</v>
      </c>
      <c r="C38" t="s">
        <v>213</v>
      </c>
      <c r="D38" s="5">
        <f>_xlfn.XLOOKUP(C38, JetFuel!$B$2:$B$52, JetFuel!$E$2:$E$52)</f>
        <v>7.40093166E-2</v>
      </c>
      <c r="E38" s="5">
        <f>_xlfn.XLOOKUP(C38, Electricity!B$2:B$52, Electricity!D$2:D$52)</f>
        <v>0.1883</v>
      </c>
    </row>
    <row r="39" spans="1:5" x14ac:dyDescent="0.35">
      <c r="A39" t="s">
        <v>45</v>
      </c>
      <c r="B39" t="s">
        <v>109</v>
      </c>
      <c r="C39" t="s">
        <v>216</v>
      </c>
      <c r="D39" s="5">
        <f>_xlfn.XLOOKUP(C39, JetFuel!$B$2:$B$52, JetFuel!$E$2:$E$52)</f>
        <v>7.2098518199999989E-2</v>
      </c>
      <c r="E39" s="5">
        <f>_xlfn.XLOOKUP(C39, Electricity!B$2:B$52, Electricity!D$2:D$52)</f>
        <v>0.10779999999999999</v>
      </c>
    </row>
    <row r="40" spans="1:5" x14ac:dyDescent="0.35">
      <c r="A40" t="s">
        <v>28</v>
      </c>
      <c r="B40" t="s">
        <v>93</v>
      </c>
      <c r="C40" t="s">
        <v>216</v>
      </c>
      <c r="D40" s="5">
        <f>_xlfn.XLOOKUP(C40, JetFuel!$B$2:$B$52, JetFuel!$E$2:$E$52)</f>
        <v>7.2098518199999989E-2</v>
      </c>
      <c r="E40" s="5">
        <f>_xlfn.XLOOKUP(C40, Electricity!B$2:B$52, Electricity!D$2:D$52)</f>
        <v>0.10779999999999999</v>
      </c>
    </row>
    <row r="41" spans="1:5" x14ac:dyDescent="0.35">
      <c r="A41" t="s">
        <v>23</v>
      </c>
      <c r="B41" t="s">
        <v>88</v>
      </c>
      <c r="C41" t="s">
        <v>216</v>
      </c>
      <c r="D41" s="5">
        <f>_xlfn.XLOOKUP(C41, JetFuel!$B$2:$B$52, JetFuel!$E$2:$E$52)</f>
        <v>7.2098518199999989E-2</v>
      </c>
      <c r="E41" s="5">
        <f>_xlfn.XLOOKUP(C41, Electricity!B$2:B$52, Electricity!D$2:D$52)</f>
        <v>0.10779999999999999</v>
      </c>
    </row>
    <row r="42" spans="1:5" x14ac:dyDescent="0.35">
      <c r="A42" t="s">
        <v>64</v>
      </c>
      <c r="B42" t="s">
        <v>128</v>
      </c>
      <c r="C42" t="s">
        <v>216</v>
      </c>
      <c r="D42" s="5">
        <f>_xlfn.XLOOKUP(C42, JetFuel!$B$2:$B$52, JetFuel!$E$2:$E$52)</f>
        <v>7.2098518199999989E-2</v>
      </c>
      <c r="E42" s="5">
        <f>_xlfn.XLOOKUP(C42, Electricity!B$2:B$52, Electricity!D$2:D$52)</f>
        <v>0.10779999999999999</v>
      </c>
    </row>
    <row r="43" spans="1:5" x14ac:dyDescent="0.35">
      <c r="A43" t="s">
        <v>36</v>
      </c>
      <c r="B43" t="s">
        <v>100</v>
      </c>
      <c r="C43" t="s">
        <v>217</v>
      </c>
      <c r="D43" s="5">
        <f>_xlfn.XLOOKUP(C43, JetFuel!$B$2:$B$52, JetFuel!$E$2:$E$52)</f>
        <v>7.0801904999999998E-2</v>
      </c>
      <c r="E43" s="5">
        <f>_xlfn.XLOOKUP(C43, Electricity!B$2:B$52, Electricity!D$2:D$52)</f>
        <v>8.9399999999999993E-2</v>
      </c>
    </row>
    <row r="44" spans="1:5" x14ac:dyDescent="0.35">
      <c r="A44" t="s">
        <v>59</v>
      </c>
      <c r="B44" t="s">
        <v>123</v>
      </c>
      <c r="C44" t="s">
        <v>217</v>
      </c>
      <c r="D44" s="5">
        <f>_xlfn.XLOOKUP(C44, JetFuel!$B$2:$B$52, JetFuel!$E$2:$E$52)</f>
        <v>7.0801904999999998E-2</v>
      </c>
      <c r="E44" s="5">
        <f>_xlfn.XLOOKUP(C44, Electricity!B$2:B$52, Electricity!D$2:D$52)</f>
        <v>8.9399999999999993E-2</v>
      </c>
    </row>
    <row r="45" spans="1:5" x14ac:dyDescent="0.35">
      <c r="A45" t="s">
        <v>14</v>
      </c>
      <c r="B45" t="s">
        <v>79</v>
      </c>
      <c r="C45" t="s">
        <v>219</v>
      </c>
      <c r="D45" s="5">
        <f>_xlfn.XLOOKUP(C45, JetFuel!$B$2:$B$52, JetFuel!$E$2:$E$52)</f>
        <v>7.2576217799999995E-2</v>
      </c>
      <c r="E45" s="5">
        <f>_xlfn.XLOOKUP(C45, Electricity!B$2:B$52, Electricity!D$2:D$52)</f>
        <v>0.1101</v>
      </c>
    </row>
    <row r="46" spans="1:5" x14ac:dyDescent="0.35">
      <c r="A46" t="s">
        <v>21</v>
      </c>
      <c r="B46" t="s">
        <v>86</v>
      </c>
      <c r="C46" t="s">
        <v>219</v>
      </c>
      <c r="D46" s="5">
        <f>_xlfn.XLOOKUP(C46, JetFuel!$B$2:$B$52, JetFuel!$E$2:$E$52)</f>
        <v>7.2576217799999995E-2</v>
      </c>
      <c r="E46" s="5">
        <f>_xlfn.XLOOKUP(C46, Electricity!B$2:B$52, Electricity!D$2:D$52)</f>
        <v>0.1101</v>
      </c>
    </row>
    <row r="47" spans="1:5" x14ac:dyDescent="0.35">
      <c r="A47" t="s">
        <v>1</v>
      </c>
      <c r="B47" t="s">
        <v>66</v>
      </c>
      <c r="C47" t="s">
        <v>221</v>
      </c>
      <c r="D47" s="5">
        <f>_xlfn.XLOOKUP(C47, JetFuel!$B$2:$B$52, JetFuel!$E$2:$E$52)</f>
        <v>6.8379285599999992E-2</v>
      </c>
      <c r="E47" s="5">
        <f>_xlfn.XLOOKUP(C47, Electricity!B$2:B$52, Electricity!D$2:D$52)</f>
        <v>0.10580000000000001</v>
      </c>
    </row>
    <row r="48" spans="1:5" x14ac:dyDescent="0.35">
      <c r="A48" t="s">
        <v>43</v>
      </c>
      <c r="B48" t="s">
        <v>107</v>
      </c>
      <c r="C48" t="s">
        <v>221</v>
      </c>
      <c r="D48" s="5">
        <f>_xlfn.XLOOKUP(C48, JetFuel!$B$2:$B$52, JetFuel!$E$2:$E$52)</f>
        <v>6.8379285599999992E-2</v>
      </c>
      <c r="E48" s="5">
        <f>_xlfn.XLOOKUP(C48, Electricity!B$2:B$52, Electricity!D$2:D$52)</f>
        <v>0.10580000000000001</v>
      </c>
    </row>
    <row r="49" spans="1:5" x14ac:dyDescent="0.35">
      <c r="A49" t="s">
        <v>9</v>
      </c>
      <c r="B49" t="s">
        <v>74</v>
      </c>
      <c r="C49" t="s">
        <v>223</v>
      </c>
      <c r="D49" s="5">
        <f>_xlfn.XLOOKUP(C49, JetFuel!$B$2:$B$52, JetFuel!$E$2:$E$52)</f>
        <v>7.0801904999999998E-2</v>
      </c>
      <c r="E49" s="5">
        <f>_xlfn.XLOOKUP(C49, Electricity!B$2:B$52, Electricity!D$2:D$52)</f>
        <v>0.12130000000000001</v>
      </c>
    </row>
    <row r="50" spans="1:5" x14ac:dyDescent="0.35">
      <c r="A50" t="s">
        <v>17</v>
      </c>
      <c r="B50" t="s">
        <v>82</v>
      </c>
      <c r="C50" t="s">
        <v>223</v>
      </c>
      <c r="D50" s="5">
        <f>_xlfn.XLOOKUP(C50, JetFuel!$B$2:$B$52, JetFuel!$E$2:$E$52)</f>
        <v>7.0801904999999998E-2</v>
      </c>
      <c r="E50" s="5">
        <f>_xlfn.XLOOKUP(C50, Electricity!B$2:B$52, Electricity!D$2:D$52)</f>
        <v>0.12130000000000001</v>
      </c>
    </row>
    <row r="51" spans="1:5" x14ac:dyDescent="0.35">
      <c r="A51" t="s">
        <v>10</v>
      </c>
      <c r="B51" t="s">
        <v>75</v>
      </c>
      <c r="C51" t="s">
        <v>224</v>
      </c>
      <c r="D51" s="5">
        <f>_xlfn.XLOOKUP(C51, JetFuel!$B$2:$B$52, JetFuel!$E$2:$E$52)</f>
        <v>7.1347847399999997E-2</v>
      </c>
      <c r="E51" s="5">
        <f>_xlfn.XLOOKUP(C51, Electricity!B$2:B$52, Electricity!D$2:D$52)</f>
        <v>8.8100000000000012E-2</v>
      </c>
    </row>
    <row r="52" spans="1:5" x14ac:dyDescent="0.35">
      <c r="A52" t="s">
        <v>53</v>
      </c>
      <c r="B52" t="s">
        <v>117</v>
      </c>
      <c r="C52" t="s">
        <v>224</v>
      </c>
      <c r="D52" s="5">
        <f>_xlfn.XLOOKUP(C52, JetFuel!$B$2:$B$52, JetFuel!$E$2:$E$52)</f>
        <v>7.1347847399999997E-2</v>
      </c>
      <c r="E52" s="5">
        <f>_xlfn.XLOOKUP(C52, Electricity!B$2:B$52, Electricity!D$2:D$52)</f>
        <v>8.8100000000000012E-2</v>
      </c>
    </row>
    <row r="53" spans="1:5" x14ac:dyDescent="0.35">
      <c r="A53" t="s">
        <v>35</v>
      </c>
      <c r="B53" t="s">
        <v>99</v>
      </c>
      <c r="C53" t="s">
        <v>224</v>
      </c>
      <c r="D53" s="5">
        <f>_xlfn.XLOOKUP(C53, JetFuel!$B$2:$B$52, JetFuel!$E$2:$E$52)</f>
        <v>7.1347847399999997E-2</v>
      </c>
      <c r="E53" s="5">
        <f>_xlfn.XLOOKUP(C53, Electricity!B$2:B$52, Electricity!D$2:D$52)</f>
        <v>8.8100000000000012E-2</v>
      </c>
    </row>
    <row r="54" spans="1:5" x14ac:dyDescent="0.35">
      <c r="A54" t="s">
        <v>20</v>
      </c>
      <c r="B54" t="s">
        <v>85</v>
      </c>
      <c r="C54" t="s">
        <v>224</v>
      </c>
      <c r="D54" s="5">
        <f>_xlfn.XLOOKUP(C54, JetFuel!$B$2:$B$52, JetFuel!$E$2:$E$52)</f>
        <v>7.1347847399999997E-2</v>
      </c>
      <c r="E54" s="5">
        <f>_xlfn.XLOOKUP(C54, Electricity!B$2:B$52, Electricity!D$2:D$52)</f>
        <v>8.8100000000000012E-2</v>
      </c>
    </row>
    <row r="55" spans="1:5" x14ac:dyDescent="0.35">
      <c r="A55" t="s">
        <v>40</v>
      </c>
      <c r="B55" t="s">
        <v>104</v>
      </c>
      <c r="C55" t="s">
        <v>224</v>
      </c>
      <c r="D55" s="5">
        <f>_xlfn.XLOOKUP(C55, JetFuel!$B$2:$B$52, JetFuel!$E$2:$E$52)</f>
        <v>7.1347847399999997E-2</v>
      </c>
      <c r="E55" s="5">
        <f>_xlfn.XLOOKUP(C55, Electricity!B$2:B$52, Electricity!D$2:D$52)</f>
        <v>8.8100000000000012E-2</v>
      </c>
    </row>
    <row r="56" spans="1:5" x14ac:dyDescent="0.35">
      <c r="A56" t="s">
        <v>12</v>
      </c>
      <c r="B56" t="s">
        <v>77</v>
      </c>
      <c r="C56" t="s">
        <v>224</v>
      </c>
      <c r="D56" s="5">
        <f>_xlfn.XLOOKUP(C56, JetFuel!$B$2:$B$52, JetFuel!$E$2:$E$52)</f>
        <v>7.1347847399999997E-2</v>
      </c>
      <c r="E56" s="5">
        <f>_xlfn.XLOOKUP(C56, Electricity!B$2:B$52, Electricity!D$2:D$52)</f>
        <v>8.8100000000000012E-2</v>
      </c>
    </row>
    <row r="57" spans="1:5" x14ac:dyDescent="0.35">
      <c r="A57" t="s">
        <v>5</v>
      </c>
      <c r="B57" t="s">
        <v>70</v>
      </c>
      <c r="C57" t="s">
        <v>224</v>
      </c>
      <c r="D57" s="5">
        <f>_xlfn.XLOOKUP(C57, JetFuel!$B$2:$B$52, JetFuel!$E$2:$E$52)</f>
        <v>7.1347847399999997E-2</v>
      </c>
      <c r="E57" s="5">
        <f>_xlfn.XLOOKUP(C57, Electricity!B$2:B$52, Electricity!D$2:D$52)</f>
        <v>8.8100000000000012E-2</v>
      </c>
    </row>
    <row r="58" spans="1:5" x14ac:dyDescent="0.35">
      <c r="A58" t="s">
        <v>55</v>
      </c>
      <c r="B58" t="s">
        <v>119</v>
      </c>
      <c r="C58" t="s">
        <v>224</v>
      </c>
      <c r="D58" s="5">
        <f>_xlfn.XLOOKUP(C58, JetFuel!$B$2:$B$52, JetFuel!$E$2:$E$52)</f>
        <v>7.1347847399999997E-2</v>
      </c>
      <c r="E58" s="5">
        <f>_xlfn.XLOOKUP(C58, Electricity!B$2:B$52, Electricity!D$2:D$52)</f>
        <v>8.8100000000000012E-2</v>
      </c>
    </row>
    <row r="59" spans="1:5" x14ac:dyDescent="0.35">
      <c r="A59" t="s">
        <v>22</v>
      </c>
      <c r="B59" t="s">
        <v>87</v>
      </c>
      <c r="C59" t="s">
        <v>224</v>
      </c>
      <c r="D59" s="5">
        <f>_xlfn.XLOOKUP(C59, JetFuel!$B$2:$B$52, JetFuel!$E$2:$E$52)</f>
        <v>7.1347847399999997E-2</v>
      </c>
      <c r="E59" s="5">
        <f>_xlfn.XLOOKUP(C59, Electricity!B$2:B$52, Electricity!D$2:D$52)</f>
        <v>8.8100000000000012E-2</v>
      </c>
    </row>
    <row r="60" spans="1:5" x14ac:dyDescent="0.35">
      <c r="A60" t="s">
        <v>15</v>
      </c>
      <c r="B60" t="s">
        <v>80</v>
      </c>
      <c r="C60" t="s">
        <v>224</v>
      </c>
      <c r="D60" s="5">
        <f>_xlfn.XLOOKUP(C60, JetFuel!$B$2:$B$52, JetFuel!$E$2:$E$52)</f>
        <v>7.1347847399999997E-2</v>
      </c>
      <c r="E60" s="5">
        <f>_xlfn.XLOOKUP(C60, Electricity!B$2:B$52, Electricity!D$2:D$52)</f>
        <v>8.8100000000000012E-2</v>
      </c>
    </row>
    <row r="61" spans="1:5" x14ac:dyDescent="0.35">
      <c r="A61" t="s">
        <v>3</v>
      </c>
      <c r="B61" t="s">
        <v>68</v>
      </c>
      <c r="C61" t="s">
        <v>224</v>
      </c>
      <c r="D61" s="5">
        <f>_xlfn.XLOOKUP(C61, JetFuel!$B$2:$B$52, JetFuel!$E$2:$E$52)</f>
        <v>7.1347847399999997E-2</v>
      </c>
      <c r="E61" s="5">
        <f>_xlfn.XLOOKUP(C61, Electricity!B$2:B$52, Electricity!D$2:D$52)</f>
        <v>8.8100000000000012E-2</v>
      </c>
    </row>
    <row r="62" spans="1:5" x14ac:dyDescent="0.35">
      <c r="A62" t="s">
        <v>41</v>
      </c>
      <c r="B62" t="s">
        <v>105</v>
      </c>
      <c r="C62" t="s">
        <v>225</v>
      </c>
      <c r="D62" s="5">
        <f>_xlfn.XLOOKUP(C62, JetFuel!$B$2:$B$52, JetFuel!$E$2:$E$52)</f>
        <v>7.6397814600000002E-2</v>
      </c>
      <c r="E62" s="5">
        <f>_xlfn.XLOOKUP(C62, Electricity!B$2:B$52, Electricity!D$2:D$52)</f>
        <v>8.4600000000000009E-2</v>
      </c>
    </row>
    <row r="63" spans="1:5" x14ac:dyDescent="0.35">
      <c r="A63" t="s">
        <v>33</v>
      </c>
      <c r="B63" t="s">
        <v>97</v>
      </c>
      <c r="C63" t="s">
        <v>227</v>
      </c>
      <c r="D63" s="5">
        <f>_xlfn.XLOOKUP(C63, JetFuel!$B$2:$B$52, JetFuel!$E$2:$E$52)</f>
        <v>6.8584013999999999E-2</v>
      </c>
      <c r="E63" s="5">
        <f>_xlfn.XLOOKUP(C63, Electricity!B$2:B$52, Electricity!D$2:D$52)</f>
        <v>8.929999999999999E-2</v>
      </c>
    </row>
    <row r="64" spans="1:5" x14ac:dyDescent="0.35">
      <c r="A64" t="s">
        <v>25</v>
      </c>
      <c r="B64" t="s">
        <v>90</v>
      </c>
      <c r="C64" t="s">
        <v>227</v>
      </c>
      <c r="D64" s="5">
        <f>_xlfn.XLOOKUP(C64, JetFuel!$B$2:$B$52, JetFuel!$E$2:$E$52)</f>
        <v>6.8584013999999999E-2</v>
      </c>
      <c r="E64" s="5">
        <f>_xlfn.XLOOKUP(C64, Electricity!B$2:B$52, Electricity!D$2:D$52)</f>
        <v>8.929999999999999E-2</v>
      </c>
    </row>
    <row r="65" spans="1:5" x14ac:dyDescent="0.35">
      <c r="A65" t="s">
        <v>13</v>
      </c>
      <c r="B65" t="s">
        <v>78</v>
      </c>
      <c r="C65" t="s">
        <v>230</v>
      </c>
      <c r="D65" s="5">
        <f>_xlfn.XLOOKUP(C65, JetFuel!$B$2:$B$52, JetFuel!$E$2:$E$52)</f>
        <v>7.3702223999999997E-2</v>
      </c>
      <c r="E65" s="5">
        <f>_xlfn.XLOOKUP(C65, Electricity!B$2:B$52, Electricity!D$2:D$52)</f>
        <v>0.1265</v>
      </c>
    </row>
  </sheetData>
  <autoFilter ref="A1:C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4F1E-FA8F-4E71-AF5E-F8FDD5D45DA6}">
  <dimension ref="A1:E52"/>
  <sheetViews>
    <sheetView workbookViewId="0">
      <selection activeCell="B2" sqref="B2:B52"/>
    </sheetView>
  </sheetViews>
  <sheetFormatPr defaultRowHeight="14.5" x14ac:dyDescent="0.35"/>
  <cols>
    <col min="1" max="1" width="12.90625" customWidth="1"/>
    <col min="2" max="2" width="14.81640625" customWidth="1"/>
    <col min="3" max="3" width="18" customWidth="1"/>
    <col min="4" max="4" width="10.81640625" bestFit="1" customWidth="1"/>
  </cols>
  <sheetData>
    <row r="1" spans="1:5" s="1" customFormat="1" x14ac:dyDescent="0.35">
      <c r="A1" s="2" t="s">
        <v>178</v>
      </c>
      <c r="B1" s="2" t="s">
        <v>179</v>
      </c>
      <c r="C1" s="1" t="s">
        <v>232</v>
      </c>
      <c r="D1" s="1" t="s">
        <v>235</v>
      </c>
      <c r="E1" s="1" t="s">
        <v>234</v>
      </c>
    </row>
    <row r="2" spans="1:5" x14ac:dyDescent="0.35">
      <c r="A2" s="3" t="s">
        <v>130</v>
      </c>
      <c r="B2" s="3" t="s">
        <v>180</v>
      </c>
      <c r="C2">
        <v>20.78</v>
      </c>
      <c r="D2">
        <f>C2/10^6</f>
        <v>2.0780000000000001E-5</v>
      </c>
      <c r="E2">
        <f>D2*3412.14</f>
        <v>7.0904269199999995E-2</v>
      </c>
    </row>
    <row r="3" spans="1:5" x14ac:dyDescent="0.35">
      <c r="A3" s="3" t="s">
        <v>131</v>
      </c>
      <c r="B3" s="3" t="s">
        <v>181</v>
      </c>
      <c r="C3">
        <v>21.32</v>
      </c>
      <c r="D3">
        <f t="shared" ref="D3:D52" si="0">C3/10^6</f>
        <v>2.1319999999999999E-5</v>
      </c>
      <c r="E3">
        <f t="shared" ref="E3:E52" si="1">D3*3412.14</f>
        <v>7.2746824799999998E-2</v>
      </c>
    </row>
    <row r="4" spans="1:5" x14ac:dyDescent="0.35">
      <c r="A4" s="3" t="s">
        <v>132</v>
      </c>
      <c r="B4" s="3" t="s">
        <v>182</v>
      </c>
      <c r="C4">
        <v>20.86</v>
      </c>
      <c r="D4">
        <f t="shared" si="0"/>
        <v>2.086E-5</v>
      </c>
      <c r="E4">
        <f t="shared" si="1"/>
        <v>7.1177240399999994E-2</v>
      </c>
    </row>
    <row r="5" spans="1:5" x14ac:dyDescent="0.35">
      <c r="A5" s="3" t="s">
        <v>133</v>
      </c>
      <c r="B5" s="3" t="s">
        <v>183</v>
      </c>
      <c r="C5">
        <v>20.75</v>
      </c>
      <c r="D5">
        <f t="shared" si="0"/>
        <v>2.075E-5</v>
      </c>
      <c r="E5">
        <f t="shared" si="1"/>
        <v>7.0801904999999998E-2</v>
      </c>
    </row>
    <row r="6" spans="1:5" x14ac:dyDescent="0.35">
      <c r="A6" s="3" t="s">
        <v>134</v>
      </c>
      <c r="B6" s="3" t="s">
        <v>184</v>
      </c>
      <c r="C6">
        <v>20.89</v>
      </c>
      <c r="D6">
        <f t="shared" si="0"/>
        <v>2.0890000000000002E-5</v>
      </c>
      <c r="E6">
        <f t="shared" si="1"/>
        <v>7.1279604600000004E-2</v>
      </c>
    </row>
    <row r="7" spans="1:5" x14ac:dyDescent="0.35">
      <c r="A7" s="3" t="s">
        <v>135</v>
      </c>
      <c r="B7" s="3" t="s">
        <v>185</v>
      </c>
      <c r="C7">
        <v>21.46</v>
      </c>
      <c r="D7">
        <f t="shared" si="0"/>
        <v>2.1460000000000001E-5</v>
      </c>
      <c r="E7">
        <f t="shared" si="1"/>
        <v>7.3224524400000005E-2</v>
      </c>
    </row>
    <row r="8" spans="1:5" x14ac:dyDescent="0.35">
      <c r="A8" s="3" t="s">
        <v>136</v>
      </c>
      <c r="B8" s="3" t="s">
        <v>186</v>
      </c>
      <c r="C8">
        <v>21.67</v>
      </c>
      <c r="D8">
        <f t="shared" si="0"/>
        <v>2.1670000000000001E-5</v>
      </c>
      <c r="E8">
        <f t="shared" si="1"/>
        <v>7.3941073800000007E-2</v>
      </c>
    </row>
    <row r="9" spans="1:5" x14ac:dyDescent="0.35">
      <c r="A9" s="3" t="s">
        <v>137</v>
      </c>
      <c r="B9" s="3" t="s">
        <v>187</v>
      </c>
      <c r="C9">
        <v>21.46</v>
      </c>
      <c r="D9">
        <f t="shared" si="0"/>
        <v>2.1460000000000001E-5</v>
      </c>
      <c r="E9">
        <f t="shared" si="1"/>
        <v>7.3224524400000005E-2</v>
      </c>
    </row>
    <row r="10" spans="1:5" ht="29" x14ac:dyDescent="0.35">
      <c r="A10" s="3" t="s">
        <v>188</v>
      </c>
      <c r="B10" s="3" t="s">
        <v>189</v>
      </c>
      <c r="C10">
        <v>21.46</v>
      </c>
      <c r="D10">
        <f t="shared" si="0"/>
        <v>2.1460000000000001E-5</v>
      </c>
      <c r="E10">
        <f t="shared" si="1"/>
        <v>7.3224524400000005E-2</v>
      </c>
    </row>
    <row r="11" spans="1:5" x14ac:dyDescent="0.35">
      <c r="A11" s="3" t="s">
        <v>138</v>
      </c>
      <c r="B11" s="3" t="s">
        <v>190</v>
      </c>
      <c r="C11">
        <v>20.190000000000001</v>
      </c>
      <c r="D11">
        <f t="shared" si="0"/>
        <v>2.0190000000000002E-5</v>
      </c>
      <c r="E11">
        <f t="shared" si="1"/>
        <v>6.8891106600000002E-2</v>
      </c>
    </row>
    <row r="12" spans="1:5" x14ac:dyDescent="0.35">
      <c r="A12" s="3" t="s">
        <v>139</v>
      </c>
      <c r="B12" s="3" t="s">
        <v>191</v>
      </c>
      <c r="C12">
        <v>20.28</v>
      </c>
      <c r="D12">
        <f t="shared" si="0"/>
        <v>2.0280000000000002E-5</v>
      </c>
      <c r="E12">
        <f t="shared" si="1"/>
        <v>6.9198199200000005E-2</v>
      </c>
    </row>
    <row r="13" spans="1:5" x14ac:dyDescent="0.35">
      <c r="A13" s="3" t="s">
        <v>140</v>
      </c>
      <c r="B13" s="3" t="s">
        <v>192</v>
      </c>
      <c r="C13">
        <v>20.5</v>
      </c>
      <c r="D13">
        <f t="shared" si="0"/>
        <v>2.05E-5</v>
      </c>
      <c r="E13">
        <f t="shared" si="1"/>
        <v>6.9948869999999996E-2</v>
      </c>
    </row>
    <row r="14" spans="1:5" x14ac:dyDescent="0.35">
      <c r="A14" s="3" t="s">
        <v>141</v>
      </c>
      <c r="B14" s="3" t="s">
        <v>193</v>
      </c>
      <c r="C14">
        <v>22.04</v>
      </c>
      <c r="D14">
        <f t="shared" si="0"/>
        <v>2.2039999999999999E-5</v>
      </c>
      <c r="E14">
        <f t="shared" si="1"/>
        <v>7.5203565599999994E-2</v>
      </c>
    </row>
    <row r="15" spans="1:5" x14ac:dyDescent="0.35">
      <c r="A15" s="3" t="s">
        <v>142</v>
      </c>
      <c r="B15" s="3" t="s">
        <v>194</v>
      </c>
      <c r="C15">
        <v>20.94</v>
      </c>
      <c r="D15">
        <f t="shared" si="0"/>
        <v>2.0940000000000003E-5</v>
      </c>
      <c r="E15">
        <f t="shared" si="1"/>
        <v>7.1450211600000008E-2</v>
      </c>
    </row>
    <row r="16" spans="1:5" x14ac:dyDescent="0.35">
      <c r="A16" s="3" t="s">
        <v>143</v>
      </c>
      <c r="B16" s="3" t="s">
        <v>195</v>
      </c>
      <c r="C16">
        <v>20.65</v>
      </c>
      <c r="D16">
        <f t="shared" si="0"/>
        <v>2.0649999999999997E-5</v>
      </c>
      <c r="E16">
        <f t="shared" si="1"/>
        <v>7.0460690999999992E-2</v>
      </c>
    </row>
    <row r="17" spans="1:5" x14ac:dyDescent="0.35">
      <c r="A17" s="3" t="s">
        <v>144</v>
      </c>
      <c r="B17" s="3" t="s">
        <v>196</v>
      </c>
      <c r="C17">
        <v>21.08</v>
      </c>
      <c r="D17">
        <f t="shared" si="0"/>
        <v>2.1079999999999998E-5</v>
      </c>
      <c r="E17">
        <f t="shared" si="1"/>
        <v>7.1927911199999986E-2</v>
      </c>
    </row>
    <row r="18" spans="1:5" x14ac:dyDescent="0.35">
      <c r="A18" s="3" t="s">
        <v>145</v>
      </c>
      <c r="B18" s="3" t="s">
        <v>197</v>
      </c>
      <c r="C18">
        <v>20.75</v>
      </c>
      <c r="D18">
        <f t="shared" si="0"/>
        <v>2.075E-5</v>
      </c>
      <c r="E18">
        <f t="shared" si="1"/>
        <v>7.0801904999999998E-2</v>
      </c>
    </row>
    <row r="19" spans="1:5" x14ac:dyDescent="0.35">
      <c r="A19" s="3" t="s">
        <v>146</v>
      </c>
      <c r="B19" s="3" t="s">
        <v>198</v>
      </c>
      <c r="C19">
        <v>20.51</v>
      </c>
      <c r="D19">
        <f t="shared" si="0"/>
        <v>2.0510000000000002E-5</v>
      </c>
      <c r="E19">
        <f t="shared" si="1"/>
        <v>6.99829914E-2</v>
      </c>
    </row>
    <row r="20" spans="1:5" x14ac:dyDescent="0.35">
      <c r="A20" s="3" t="s">
        <v>147</v>
      </c>
      <c r="B20" s="3" t="s">
        <v>199</v>
      </c>
      <c r="C20">
        <v>20.52</v>
      </c>
      <c r="D20">
        <f t="shared" si="0"/>
        <v>2.052E-5</v>
      </c>
      <c r="E20">
        <f t="shared" si="1"/>
        <v>7.0017112800000003E-2</v>
      </c>
    </row>
    <row r="21" spans="1:5" x14ac:dyDescent="0.35">
      <c r="A21" s="3" t="s">
        <v>148</v>
      </c>
      <c r="B21" s="3" t="s">
        <v>200</v>
      </c>
      <c r="C21">
        <v>21.67</v>
      </c>
      <c r="D21">
        <f t="shared" si="0"/>
        <v>2.1670000000000001E-5</v>
      </c>
      <c r="E21">
        <f t="shared" si="1"/>
        <v>7.3941073800000007E-2</v>
      </c>
    </row>
    <row r="22" spans="1:5" x14ac:dyDescent="0.35">
      <c r="A22" s="3" t="s">
        <v>149</v>
      </c>
      <c r="B22" s="3" t="s">
        <v>201</v>
      </c>
      <c r="C22">
        <v>21.46</v>
      </c>
      <c r="D22">
        <f t="shared" si="0"/>
        <v>2.1460000000000001E-5</v>
      </c>
      <c r="E22">
        <f t="shared" si="1"/>
        <v>7.3224524400000005E-2</v>
      </c>
    </row>
    <row r="23" spans="1:5" ht="29" x14ac:dyDescent="0.35">
      <c r="A23" s="3" t="s">
        <v>150</v>
      </c>
      <c r="B23" s="3" t="s">
        <v>202</v>
      </c>
      <c r="C23">
        <v>21.56</v>
      </c>
      <c r="D23">
        <f t="shared" si="0"/>
        <v>2.156E-5</v>
      </c>
      <c r="E23">
        <f t="shared" si="1"/>
        <v>7.3565738399999997E-2</v>
      </c>
    </row>
    <row r="24" spans="1:5" x14ac:dyDescent="0.35">
      <c r="A24" s="3" t="s">
        <v>151</v>
      </c>
      <c r="B24" s="3" t="s">
        <v>203</v>
      </c>
      <c r="C24">
        <v>20.34</v>
      </c>
      <c r="D24">
        <f t="shared" si="0"/>
        <v>2.0339999999999998E-5</v>
      </c>
      <c r="E24">
        <f t="shared" si="1"/>
        <v>6.9402927599999997E-2</v>
      </c>
    </row>
    <row r="25" spans="1:5" x14ac:dyDescent="0.35">
      <c r="A25" s="3" t="s">
        <v>152</v>
      </c>
      <c r="B25" s="3" t="s">
        <v>204</v>
      </c>
      <c r="C25">
        <v>21.03</v>
      </c>
      <c r="D25">
        <f t="shared" si="0"/>
        <v>2.103E-5</v>
      </c>
      <c r="E25">
        <f t="shared" si="1"/>
        <v>7.1757304199999997E-2</v>
      </c>
    </row>
    <row r="26" spans="1:5" x14ac:dyDescent="0.35">
      <c r="A26" s="3" t="s">
        <v>153</v>
      </c>
      <c r="B26" s="3" t="s">
        <v>205</v>
      </c>
      <c r="C26">
        <v>20.32</v>
      </c>
      <c r="D26">
        <f t="shared" si="0"/>
        <v>2.0320000000000002E-5</v>
      </c>
      <c r="E26">
        <f t="shared" si="1"/>
        <v>6.9334684800000004E-2</v>
      </c>
    </row>
    <row r="27" spans="1:5" x14ac:dyDescent="0.35">
      <c r="A27" s="3" t="s">
        <v>154</v>
      </c>
      <c r="B27" s="3" t="s">
        <v>206</v>
      </c>
      <c r="C27">
        <v>20.75</v>
      </c>
      <c r="D27">
        <f t="shared" si="0"/>
        <v>2.075E-5</v>
      </c>
      <c r="E27">
        <f t="shared" si="1"/>
        <v>7.0801904999999998E-2</v>
      </c>
    </row>
    <row r="28" spans="1:5" x14ac:dyDescent="0.35">
      <c r="A28" s="3" t="s">
        <v>155</v>
      </c>
      <c r="B28" s="3" t="s">
        <v>207</v>
      </c>
      <c r="C28">
        <v>22.04</v>
      </c>
      <c r="D28">
        <f t="shared" si="0"/>
        <v>2.2039999999999999E-5</v>
      </c>
      <c r="E28">
        <f t="shared" si="1"/>
        <v>7.5203565599999994E-2</v>
      </c>
    </row>
    <row r="29" spans="1:5" x14ac:dyDescent="0.35">
      <c r="A29" s="3" t="s">
        <v>156</v>
      </c>
      <c r="B29" s="3" t="s">
        <v>208</v>
      </c>
      <c r="C29">
        <v>20.75</v>
      </c>
      <c r="D29">
        <f t="shared" si="0"/>
        <v>2.075E-5</v>
      </c>
      <c r="E29">
        <f t="shared" si="1"/>
        <v>7.0801904999999998E-2</v>
      </c>
    </row>
    <row r="30" spans="1:5" x14ac:dyDescent="0.35">
      <c r="A30" s="3" t="s">
        <v>157</v>
      </c>
      <c r="B30" s="3" t="s">
        <v>209</v>
      </c>
      <c r="C30">
        <v>20.99</v>
      </c>
      <c r="D30">
        <f t="shared" si="0"/>
        <v>2.0989999999999997E-5</v>
      </c>
      <c r="E30">
        <f t="shared" si="1"/>
        <v>7.1620818599999983E-2</v>
      </c>
    </row>
    <row r="31" spans="1:5" ht="29" x14ac:dyDescent="0.35">
      <c r="A31" s="3" t="s">
        <v>158</v>
      </c>
      <c r="B31" s="3" t="s">
        <v>210</v>
      </c>
      <c r="C31">
        <v>21.67</v>
      </c>
      <c r="D31">
        <f t="shared" si="0"/>
        <v>2.1670000000000001E-5</v>
      </c>
      <c r="E31">
        <f t="shared" si="1"/>
        <v>7.3941073800000007E-2</v>
      </c>
    </row>
    <row r="32" spans="1:5" x14ac:dyDescent="0.35">
      <c r="A32" s="3" t="s">
        <v>159</v>
      </c>
      <c r="B32" s="3" t="s">
        <v>211</v>
      </c>
      <c r="C32">
        <v>21.51</v>
      </c>
      <c r="D32">
        <f t="shared" si="0"/>
        <v>2.1510000000000002E-5</v>
      </c>
      <c r="E32">
        <f t="shared" si="1"/>
        <v>7.3395131400000008E-2</v>
      </c>
    </row>
    <row r="33" spans="1:5" x14ac:dyDescent="0.35">
      <c r="A33" s="3" t="s">
        <v>160</v>
      </c>
      <c r="B33" s="3" t="s">
        <v>212</v>
      </c>
      <c r="C33">
        <v>20.75</v>
      </c>
      <c r="D33">
        <f t="shared" si="0"/>
        <v>2.075E-5</v>
      </c>
      <c r="E33">
        <f t="shared" si="1"/>
        <v>7.0801904999999998E-2</v>
      </c>
    </row>
    <row r="34" spans="1:5" x14ac:dyDescent="0.35">
      <c r="A34" s="3" t="s">
        <v>98</v>
      </c>
      <c r="B34" s="3" t="s">
        <v>213</v>
      </c>
      <c r="C34">
        <v>21.69</v>
      </c>
      <c r="D34">
        <f t="shared" si="0"/>
        <v>2.1690000000000001E-5</v>
      </c>
      <c r="E34">
        <f t="shared" si="1"/>
        <v>7.40093166E-2</v>
      </c>
    </row>
    <row r="35" spans="1:5" ht="29" x14ac:dyDescent="0.35">
      <c r="A35" s="3" t="s">
        <v>161</v>
      </c>
      <c r="B35" s="3" t="s">
        <v>214</v>
      </c>
      <c r="C35">
        <v>20.29</v>
      </c>
      <c r="D35">
        <f t="shared" si="0"/>
        <v>2.0290000000000001E-5</v>
      </c>
      <c r="E35">
        <f t="shared" si="1"/>
        <v>6.9232320599999994E-2</v>
      </c>
    </row>
    <row r="36" spans="1:5" x14ac:dyDescent="0.35">
      <c r="A36" s="3" t="s">
        <v>162</v>
      </c>
      <c r="B36" s="3" t="s">
        <v>215</v>
      </c>
      <c r="C36">
        <v>20.75</v>
      </c>
      <c r="D36">
        <f t="shared" si="0"/>
        <v>2.075E-5</v>
      </c>
      <c r="E36">
        <f t="shared" si="1"/>
        <v>7.0801904999999998E-2</v>
      </c>
    </row>
    <row r="37" spans="1:5" x14ac:dyDescent="0.35">
      <c r="A37" s="3" t="s">
        <v>163</v>
      </c>
      <c r="B37" s="3" t="s">
        <v>216</v>
      </c>
      <c r="C37">
        <v>21.13</v>
      </c>
      <c r="D37">
        <f t="shared" si="0"/>
        <v>2.1129999999999999E-5</v>
      </c>
      <c r="E37">
        <f t="shared" si="1"/>
        <v>7.2098518199999989E-2</v>
      </c>
    </row>
    <row r="38" spans="1:5" x14ac:dyDescent="0.35">
      <c r="A38" s="3" t="s">
        <v>164</v>
      </c>
      <c r="B38" s="3" t="s">
        <v>217</v>
      </c>
      <c r="C38">
        <v>20.75</v>
      </c>
      <c r="D38">
        <f t="shared" si="0"/>
        <v>2.075E-5</v>
      </c>
      <c r="E38">
        <f t="shared" si="1"/>
        <v>7.0801904999999998E-2</v>
      </c>
    </row>
    <row r="39" spans="1:5" x14ac:dyDescent="0.35">
      <c r="A39" s="3" t="s">
        <v>165</v>
      </c>
      <c r="B39" s="3" t="s">
        <v>218</v>
      </c>
      <c r="C39">
        <v>21.31</v>
      </c>
      <c r="D39">
        <f t="shared" si="0"/>
        <v>2.1309999999999998E-5</v>
      </c>
      <c r="E39">
        <f t="shared" si="1"/>
        <v>7.2712703399999995E-2</v>
      </c>
    </row>
    <row r="40" spans="1:5" x14ac:dyDescent="0.35">
      <c r="A40" s="3" t="s">
        <v>166</v>
      </c>
      <c r="B40" s="3" t="s">
        <v>219</v>
      </c>
      <c r="C40">
        <v>21.27</v>
      </c>
      <c r="D40">
        <f t="shared" si="0"/>
        <v>2.1269999999999998E-5</v>
      </c>
      <c r="E40">
        <f t="shared" si="1"/>
        <v>7.2576217799999995E-2</v>
      </c>
    </row>
    <row r="41" spans="1:5" x14ac:dyDescent="0.35">
      <c r="A41" s="3" t="s">
        <v>167</v>
      </c>
      <c r="B41" s="3" t="s">
        <v>220</v>
      </c>
      <c r="C41">
        <v>21.67</v>
      </c>
      <c r="D41">
        <f t="shared" si="0"/>
        <v>2.1670000000000001E-5</v>
      </c>
      <c r="E41">
        <f t="shared" si="1"/>
        <v>7.3941073800000007E-2</v>
      </c>
    </row>
    <row r="42" spans="1:5" ht="29" x14ac:dyDescent="0.35">
      <c r="A42" s="3" t="s">
        <v>168</v>
      </c>
      <c r="B42" s="3" t="s">
        <v>221</v>
      </c>
      <c r="C42">
        <v>20.04</v>
      </c>
      <c r="D42">
        <f t="shared" si="0"/>
        <v>2.0039999999999998E-5</v>
      </c>
      <c r="E42">
        <f t="shared" si="1"/>
        <v>6.8379285599999992E-2</v>
      </c>
    </row>
    <row r="43" spans="1:5" x14ac:dyDescent="0.35">
      <c r="A43" s="3" t="s">
        <v>169</v>
      </c>
      <c r="B43" s="3" t="s">
        <v>222</v>
      </c>
      <c r="C43">
        <v>19.27</v>
      </c>
      <c r="D43">
        <f t="shared" si="0"/>
        <v>1.927E-5</v>
      </c>
      <c r="E43">
        <f t="shared" si="1"/>
        <v>6.5751937799999993E-2</v>
      </c>
    </row>
    <row r="44" spans="1:5" x14ac:dyDescent="0.35">
      <c r="A44" s="3" t="s">
        <v>170</v>
      </c>
      <c r="B44" s="3" t="s">
        <v>223</v>
      </c>
      <c r="C44">
        <v>20.75</v>
      </c>
      <c r="D44">
        <f t="shared" si="0"/>
        <v>2.075E-5</v>
      </c>
      <c r="E44">
        <f t="shared" si="1"/>
        <v>7.0801904999999998E-2</v>
      </c>
    </row>
    <row r="45" spans="1:5" x14ac:dyDescent="0.35">
      <c r="A45" s="3" t="s">
        <v>171</v>
      </c>
      <c r="B45" s="3" t="s">
        <v>224</v>
      </c>
      <c r="C45">
        <v>20.91</v>
      </c>
      <c r="D45">
        <f t="shared" si="0"/>
        <v>2.0910000000000001E-5</v>
      </c>
      <c r="E45">
        <f t="shared" si="1"/>
        <v>7.1347847399999997E-2</v>
      </c>
    </row>
    <row r="46" spans="1:5" x14ac:dyDescent="0.35">
      <c r="A46" s="3" t="s">
        <v>172</v>
      </c>
      <c r="B46" s="3" t="s">
        <v>225</v>
      </c>
      <c r="C46">
        <v>22.39</v>
      </c>
      <c r="D46">
        <f t="shared" si="0"/>
        <v>2.2390000000000001E-5</v>
      </c>
      <c r="E46">
        <f t="shared" si="1"/>
        <v>7.6397814600000002E-2</v>
      </c>
    </row>
    <row r="47" spans="1:5" x14ac:dyDescent="0.35">
      <c r="A47" s="3" t="s">
        <v>173</v>
      </c>
      <c r="B47" s="3" t="s">
        <v>226</v>
      </c>
      <c r="C47">
        <v>21.67</v>
      </c>
      <c r="D47">
        <f t="shared" si="0"/>
        <v>2.1670000000000001E-5</v>
      </c>
      <c r="E47">
        <f t="shared" si="1"/>
        <v>7.3941073800000007E-2</v>
      </c>
    </row>
    <row r="48" spans="1:5" x14ac:dyDescent="0.35">
      <c r="A48" s="3" t="s">
        <v>174</v>
      </c>
      <c r="B48" s="3" t="s">
        <v>227</v>
      </c>
      <c r="C48">
        <v>20.100000000000001</v>
      </c>
      <c r="D48">
        <f t="shared" si="0"/>
        <v>2.0100000000000001E-5</v>
      </c>
      <c r="E48">
        <f t="shared" si="1"/>
        <v>6.8584013999999999E-2</v>
      </c>
    </row>
    <row r="49" spans="1:5" x14ac:dyDescent="0.35">
      <c r="A49" s="3" t="s">
        <v>67</v>
      </c>
      <c r="B49" s="3" t="s">
        <v>228</v>
      </c>
      <c r="C49">
        <v>20.86</v>
      </c>
      <c r="D49">
        <f t="shared" si="0"/>
        <v>2.086E-5</v>
      </c>
      <c r="E49">
        <f t="shared" si="1"/>
        <v>7.1177240399999994E-2</v>
      </c>
    </row>
    <row r="50" spans="1:5" x14ac:dyDescent="0.35">
      <c r="A50" s="3" t="s">
        <v>175</v>
      </c>
      <c r="B50" s="3" t="s">
        <v>229</v>
      </c>
      <c r="C50">
        <v>20.28</v>
      </c>
      <c r="D50">
        <f t="shared" si="0"/>
        <v>2.0280000000000002E-5</v>
      </c>
      <c r="E50">
        <f t="shared" si="1"/>
        <v>6.9198199200000005E-2</v>
      </c>
    </row>
    <row r="51" spans="1:5" x14ac:dyDescent="0.35">
      <c r="A51" s="3" t="s">
        <v>176</v>
      </c>
      <c r="B51" s="3" t="s">
        <v>230</v>
      </c>
      <c r="C51">
        <v>21.6</v>
      </c>
      <c r="D51">
        <f t="shared" si="0"/>
        <v>2.16E-5</v>
      </c>
      <c r="E51">
        <f t="shared" si="1"/>
        <v>7.3702223999999997E-2</v>
      </c>
    </row>
    <row r="52" spans="1:5" x14ac:dyDescent="0.35">
      <c r="A52" s="3" t="s">
        <v>177</v>
      </c>
      <c r="B52" s="3" t="s">
        <v>231</v>
      </c>
      <c r="C52">
        <v>21.59</v>
      </c>
      <c r="D52">
        <f t="shared" si="0"/>
        <v>2.1589999999999998E-5</v>
      </c>
      <c r="E52">
        <f t="shared" si="1"/>
        <v>7.3668102599999993E-2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7A9F-FD89-4764-9287-1B4C869E4CFB}">
  <dimension ref="A1:D52"/>
  <sheetViews>
    <sheetView workbookViewId="0">
      <selection activeCell="B50" sqref="B50"/>
    </sheetView>
  </sheetViews>
  <sheetFormatPr defaultRowHeight="14.5" x14ac:dyDescent="0.35"/>
  <cols>
    <col min="1" max="1" width="15" customWidth="1"/>
    <col min="3" max="3" width="17" customWidth="1"/>
  </cols>
  <sheetData>
    <row r="1" spans="1:4" s="4" customFormat="1" ht="29" x14ac:dyDescent="0.35">
      <c r="A1" s="2" t="s">
        <v>178</v>
      </c>
      <c r="B1" s="2" t="s">
        <v>179</v>
      </c>
      <c r="C1" s="4" t="s">
        <v>233</v>
      </c>
      <c r="D1" s="4" t="s">
        <v>234</v>
      </c>
    </row>
    <row r="2" spans="1:4" x14ac:dyDescent="0.35">
      <c r="A2" t="s">
        <v>236</v>
      </c>
      <c r="B2" s="3" t="s">
        <v>180</v>
      </c>
      <c r="C2">
        <v>13.57</v>
      </c>
      <c r="D2">
        <f>C2/100</f>
        <v>0.13570000000000002</v>
      </c>
    </row>
    <row r="3" spans="1:4" x14ac:dyDescent="0.35">
      <c r="A3" t="s">
        <v>237</v>
      </c>
      <c r="B3" s="3" t="s">
        <v>181</v>
      </c>
      <c r="C3">
        <v>21.44</v>
      </c>
      <c r="D3">
        <f t="shared" ref="D3:D52" si="0">C3/100</f>
        <v>0.21440000000000001</v>
      </c>
    </row>
    <row r="4" spans="1:4" x14ac:dyDescent="0.35">
      <c r="A4" t="s">
        <v>238</v>
      </c>
      <c r="B4" s="3" t="s">
        <v>182</v>
      </c>
      <c r="C4">
        <v>12.36</v>
      </c>
      <c r="D4">
        <f t="shared" si="0"/>
        <v>0.12359999999999999</v>
      </c>
    </row>
    <row r="5" spans="1:4" x14ac:dyDescent="0.35">
      <c r="A5" t="s">
        <v>239</v>
      </c>
      <c r="B5" s="3" t="s">
        <v>183</v>
      </c>
      <c r="C5">
        <v>10.220000000000001</v>
      </c>
      <c r="D5">
        <f t="shared" si="0"/>
        <v>0.10220000000000001</v>
      </c>
    </row>
    <row r="6" spans="1:4" x14ac:dyDescent="0.35">
      <c r="A6" t="s">
        <v>240</v>
      </c>
      <c r="B6" s="3" t="s">
        <v>184</v>
      </c>
      <c r="C6">
        <v>25.29</v>
      </c>
      <c r="D6">
        <f t="shared" si="0"/>
        <v>0.25290000000000001</v>
      </c>
    </row>
    <row r="7" spans="1:4" x14ac:dyDescent="0.35">
      <c r="A7" t="s">
        <v>241</v>
      </c>
      <c r="B7" s="3" t="s">
        <v>185</v>
      </c>
      <c r="C7">
        <v>11.84</v>
      </c>
      <c r="D7">
        <f t="shared" si="0"/>
        <v>0.11840000000000001</v>
      </c>
    </row>
    <row r="8" spans="1:4" x14ac:dyDescent="0.35">
      <c r="A8" t="s">
        <v>242</v>
      </c>
      <c r="B8" s="3" t="s">
        <v>186</v>
      </c>
      <c r="C8">
        <v>21.35</v>
      </c>
      <c r="D8">
        <f t="shared" si="0"/>
        <v>0.21350000000000002</v>
      </c>
    </row>
    <row r="9" spans="1:4" x14ac:dyDescent="0.35">
      <c r="A9" t="s">
        <v>243</v>
      </c>
      <c r="B9" s="3" t="s">
        <v>187</v>
      </c>
      <c r="C9">
        <v>12.11</v>
      </c>
      <c r="D9">
        <f t="shared" si="0"/>
        <v>0.1211</v>
      </c>
    </row>
    <row r="10" spans="1:4" x14ac:dyDescent="0.35">
      <c r="A10" t="s">
        <v>244</v>
      </c>
      <c r="B10" s="3" t="s">
        <v>189</v>
      </c>
      <c r="C10">
        <v>17.02</v>
      </c>
      <c r="D10">
        <f t="shared" si="0"/>
        <v>0.17019999999999999</v>
      </c>
    </row>
    <row r="11" spans="1:4" x14ac:dyDescent="0.35">
      <c r="A11" t="s">
        <v>245</v>
      </c>
      <c r="B11" s="3" t="s">
        <v>190</v>
      </c>
      <c r="C11">
        <v>11.1</v>
      </c>
      <c r="D11">
        <f t="shared" si="0"/>
        <v>0.111</v>
      </c>
    </row>
    <row r="12" spans="1:4" x14ac:dyDescent="0.35">
      <c r="A12" t="s">
        <v>246</v>
      </c>
      <c r="B12" s="3" t="s">
        <v>191</v>
      </c>
      <c r="C12">
        <v>11.09</v>
      </c>
      <c r="D12">
        <f t="shared" si="0"/>
        <v>0.1109</v>
      </c>
    </row>
    <row r="13" spans="1:4" x14ac:dyDescent="0.35">
      <c r="A13" t="s">
        <v>247</v>
      </c>
      <c r="B13" s="3" t="s">
        <v>192</v>
      </c>
      <c r="C13">
        <v>38.840000000000003</v>
      </c>
      <c r="D13">
        <f t="shared" si="0"/>
        <v>0.38840000000000002</v>
      </c>
    </row>
    <row r="14" spans="1:4" x14ac:dyDescent="0.35">
      <c r="A14" t="s">
        <v>248</v>
      </c>
      <c r="B14" s="3" t="s">
        <v>193</v>
      </c>
      <c r="C14">
        <v>9.1999999999999993</v>
      </c>
      <c r="D14">
        <f t="shared" si="0"/>
        <v>9.1999999999999998E-2</v>
      </c>
    </row>
    <row r="15" spans="1:4" x14ac:dyDescent="0.35">
      <c r="A15" t="s">
        <v>249</v>
      </c>
      <c r="B15" s="3" t="s">
        <v>194</v>
      </c>
      <c r="C15">
        <v>11.77</v>
      </c>
      <c r="D15">
        <f t="shared" si="0"/>
        <v>0.1177</v>
      </c>
    </row>
    <row r="16" spans="1:4" x14ac:dyDescent="0.35">
      <c r="A16" t="s">
        <v>250</v>
      </c>
      <c r="B16" s="3" t="s">
        <v>195</v>
      </c>
      <c r="C16">
        <v>12.62</v>
      </c>
      <c r="D16">
        <f t="shared" si="0"/>
        <v>0.12619999999999998</v>
      </c>
    </row>
    <row r="17" spans="1:4" x14ac:dyDescent="0.35">
      <c r="A17" t="s">
        <v>251</v>
      </c>
      <c r="B17" s="3" t="s">
        <v>196</v>
      </c>
      <c r="C17">
        <v>10.35</v>
      </c>
      <c r="D17">
        <f t="shared" si="0"/>
        <v>0.10349999999999999</v>
      </c>
    </row>
    <row r="18" spans="1:4" x14ac:dyDescent="0.35">
      <c r="A18" t="s">
        <v>252</v>
      </c>
      <c r="B18" s="3" t="s">
        <v>197</v>
      </c>
      <c r="C18">
        <v>11.23</v>
      </c>
      <c r="D18">
        <f t="shared" si="0"/>
        <v>0.11230000000000001</v>
      </c>
    </row>
    <row r="19" spans="1:4" x14ac:dyDescent="0.35">
      <c r="A19" t="s">
        <v>253</v>
      </c>
      <c r="B19" s="3" t="s">
        <v>198</v>
      </c>
      <c r="C19">
        <v>11.63</v>
      </c>
      <c r="D19">
        <f t="shared" si="0"/>
        <v>0.11630000000000001</v>
      </c>
    </row>
    <row r="20" spans="1:4" x14ac:dyDescent="0.35">
      <c r="A20" t="s">
        <v>254</v>
      </c>
      <c r="B20" s="3" t="s">
        <v>199</v>
      </c>
      <c r="C20">
        <v>10.37</v>
      </c>
      <c r="D20">
        <f t="shared" si="0"/>
        <v>0.10369999999999999</v>
      </c>
    </row>
    <row r="21" spans="1:4" x14ac:dyDescent="0.35">
      <c r="A21" t="s">
        <v>255</v>
      </c>
      <c r="B21" s="3" t="s">
        <v>200</v>
      </c>
      <c r="C21">
        <v>18.350000000000001</v>
      </c>
      <c r="D21">
        <f t="shared" si="0"/>
        <v>0.18350000000000002</v>
      </c>
    </row>
    <row r="22" spans="1:4" x14ac:dyDescent="0.35">
      <c r="A22" t="s">
        <v>256</v>
      </c>
      <c r="B22" s="3" t="s">
        <v>201</v>
      </c>
      <c r="C22">
        <v>12.99</v>
      </c>
      <c r="D22">
        <f t="shared" si="0"/>
        <v>0.12990000000000002</v>
      </c>
    </row>
    <row r="23" spans="1:4" x14ac:dyDescent="0.35">
      <c r="A23" t="s">
        <v>257</v>
      </c>
      <c r="B23" s="3" t="s">
        <v>202</v>
      </c>
      <c r="C23">
        <v>20.96</v>
      </c>
      <c r="D23">
        <f t="shared" si="0"/>
        <v>0.20960000000000001</v>
      </c>
    </row>
    <row r="24" spans="1:4" x14ac:dyDescent="0.35">
      <c r="A24" t="s">
        <v>258</v>
      </c>
      <c r="B24" s="3" t="s">
        <v>203</v>
      </c>
      <c r="C24">
        <v>13.99</v>
      </c>
      <c r="D24">
        <f t="shared" si="0"/>
        <v>0.1399</v>
      </c>
    </row>
    <row r="25" spans="1:4" x14ac:dyDescent="0.35">
      <c r="A25" t="s">
        <v>259</v>
      </c>
      <c r="B25" s="3" t="s">
        <v>204</v>
      </c>
      <c r="C25">
        <v>12.22</v>
      </c>
      <c r="D25">
        <f t="shared" si="0"/>
        <v>0.1222</v>
      </c>
    </row>
    <row r="26" spans="1:4" x14ac:dyDescent="0.35">
      <c r="A26" t="s">
        <v>260</v>
      </c>
      <c r="B26" s="3" t="s">
        <v>205</v>
      </c>
      <c r="C26">
        <v>12.08</v>
      </c>
      <c r="D26">
        <f t="shared" si="0"/>
        <v>0.1208</v>
      </c>
    </row>
    <row r="27" spans="1:4" x14ac:dyDescent="0.35">
      <c r="A27" t="s">
        <v>261</v>
      </c>
      <c r="B27" s="3" t="s">
        <v>206</v>
      </c>
      <c r="C27">
        <v>10.29</v>
      </c>
      <c r="D27">
        <f t="shared" si="0"/>
        <v>0.10289999999999999</v>
      </c>
    </row>
    <row r="28" spans="1:4" x14ac:dyDescent="0.35">
      <c r="A28" t="s">
        <v>262</v>
      </c>
      <c r="B28" s="3" t="s">
        <v>207</v>
      </c>
      <c r="C28">
        <v>11.8</v>
      </c>
      <c r="D28">
        <f t="shared" si="0"/>
        <v>0.11800000000000001</v>
      </c>
    </row>
    <row r="29" spans="1:4" x14ac:dyDescent="0.35">
      <c r="A29" t="s">
        <v>263</v>
      </c>
      <c r="B29" s="3" t="s">
        <v>208</v>
      </c>
      <c r="C29">
        <v>8.6999999999999993</v>
      </c>
      <c r="D29">
        <f t="shared" si="0"/>
        <v>8.6999999999999994E-2</v>
      </c>
    </row>
    <row r="30" spans="1:4" x14ac:dyDescent="0.35">
      <c r="A30" t="s">
        <v>264</v>
      </c>
      <c r="B30" s="3" t="s">
        <v>209</v>
      </c>
      <c r="C30">
        <v>10.47</v>
      </c>
      <c r="D30">
        <f t="shared" si="0"/>
        <v>0.1047</v>
      </c>
    </row>
    <row r="31" spans="1:4" x14ac:dyDescent="0.35">
      <c r="A31" t="s">
        <v>265</v>
      </c>
      <c r="B31" s="3" t="s">
        <v>210</v>
      </c>
      <c r="C31">
        <v>19.45</v>
      </c>
      <c r="D31">
        <f t="shared" si="0"/>
        <v>0.19450000000000001</v>
      </c>
    </row>
    <row r="32" spans="1:4" x14ac:dyDescent="0.35">
      <c r="A32" t="s">
        <v>266</v>
      </c>
      <c r="B32" s="3" t="s">
        <v>211</v>
      </c>
      <c r="C32">
        <v>14.78</v>
      </c>
      <c r="D32">
        <f t="shared" si="0"/>
        <v>0.14779999999999999</v>
      </c>
    </row>
    <row r="33" spans="1:4" x14ac:dyDescent="0.35">
      <c r="A33" t="s">
        <v>267</v>
      </c>
      <c r="B33" s="3" t="s">
        <v>212</v>
      </c>
      <c r="C33">
        <v>10.65</v>
      </c>
      <c r="D33">
        <f t="shared" si="0"/>
        <v>0.1065</v>
      </c>
    </row>
    <row r="34" spans="1:4" x14ac:dyDescent="0.35">
      <c r="A34" t="s">
        <v>268</v>
      </c>
      <c r="B34" s="3" t="s">
        <v>213</v>
      </c>
      <c r="C34">
        <v>18.829999999999998</v>
      </c>
      <c r="D34">
        <f t="shared" si="0"/>
        <v>0.1883</v>
      </c>
    </row>
    <row r="35" spans="1:4" x14ac:dyDescent="0.35">
      <c r="A35" t="s">
        <v>269</v>
      </c>
      <c r="B35" s="3" t="s">
        <v>214</v>
      </c>
      <c r="C35">
        <v>10.56</v>
      </c>
      <c r="D35">
        <f t="shared" si="0"/>
        <v>0.1056</v>
      </c>
    </row>
    <row r="36" spans="1:4" x14ac:dyDescent="0.35">
      <c r="A36" t="s">
        <v>270</v>
      </c>
      <c r="B36" s="3" t="s">
        <v>215</v>
      </c>
      <c r="C36">
        <v>7.21</v>
      </c>
      <c r="D36">
        <f t="shared" si="0"/>
        <v>7.2099999999999997E-2</v>
      </c>
    </row>
    <row r="37" spans="1:4" x14ac:dyDescent="0.35">
      <c r="A37" t="s">
        <v>271</v>
      </c>
      <c r="B37" s="3" t="s">
        <v>216</v>
      </c>
      <c r="C37">
        <v>10.78</v>
      </c>
      <c r="D37">
        <f t="shared" si="0"/>
        <v>0.10779999999999999</v>
      </c>
    </row>
    <row r="38" spans="1:4" x14ac:dyDescent="0.35">
      <c r="A38" t="s">
        <v>272</v>
      </c>
      <c r="B38" s="3" t="s">
        <v>217</v>
      </c>
      <c r="C38">
        <v>8.94</v>
      </c>
      <c r="D38">
        <f t="shared" si="0"/>
        <v>8.9399999999999993E-2</v>
      </c>
    </row>
    <row r="39" spans="1:4" x14ac:dyDescent="0.35">
      <c r="A39" t="s">
        <v>273</v>
      </c>
      <c r="B39" s="3" t="s">
        <v>218</v>
      </c>
      <c r="C39">
        <v>10.81</v>
      </c>
      <c r="D39">
        <f t="shared" si="0"/>
        <v>0.1081</v>
      </c>
    </row>
    <row r="40" spans="1:4" x14ac:dyDescent="0.35">
      <c r="A40" t="s">
        <v>274</v>
      </c>
      <c r="B40" s="3" t="s">
        <v>219</v>
      </c>
      <c r="C40">
        <v>11.01</v>
      </c>
      <c r="D40">
        <f t="shared" si="0"/>
        <v>0.1101</v>
      </c>
    </row>
    <row r="41" spans="1:4" x14ac:dyDescent="0.35">
      <c r="A41" t="s">
        <v>275</v>
      </c>
      <c r="B41" s="3" t="s">
        <v>220</v>
      </c>
      <c r="C41">
        <v>20.95</v>
      </c>
      <c r="D41">
        <f t="shared" si="0"/>
        <v>0.20949999999999999</v>
      </c>
    </row>
    <row r="42" spans="1:4" x14ac:dyDescent="0.35">
      <c r="A42" t="s">
        <v>276</v>
      </c>
      <c r="B42" s="3" t="s">
        <v>221</v>
      </c>
      <c r="C42">
        <v>10.58</v>
      </c>
      <c r="D42">
        <f t="shared" si="0"/>
        <v>0.10580000000000001</v>
      </c>
    </row>
    <row r="43" spans="1:4" x14ac:dyDescent="0.35">
      <c r="A43" t="s">
        <v>277</v>
      </c>
      <c r="B43" s="3" t="s">
        <v>222</v>
      </c>
      <c r="C43">
        <v>10.62</v>
      </c>
      <c r="D43">
        <f t="shared" si="0"/>
        <v>0.10619999999999999</v>
      </c>
    </row>
    <row r="44" spans="1:4" x14ac:dyDescent="0.35">
      <c r="A44" t="s">
        <v>278</v>
      </c>
      <c r="B44" s="3" t="s">
        <v>223</v>
      </c>
      <c r="C44">
        <v>12.13</v>
      </c>
      <c r="D44">
        <f t="shared" si="0"/>
        <v>0.12130000000000001</v>
      </c>
    </row>
    <row r="45" spans="1:4" x14ac:dyDescent="0.35">
      <c r="A45" t="s">
        <v>279</v>
      </c>
      <c r="B45" s="3" t="s">
        <v>224</v>
      </c>
      <c r="C45">
        <v>8.81</v>
      </c>
      <c r="D45">
        <f t="shared" si="0"/>
        <v>8.8100000000000012E-2</v>
      </c>
    </row>
    <row r="46" spans="1:4" x14ac:dyDescent="0.35">
      <c r="A46" t="s">
        <v>280</v>
      </c>
      <c r="B46" s="3" t="s">
        <v>225</v>
      </c>
      <c r="C46">
        <v>8.4600000000000009</v>
      </c>
      <c r="D46">
        <f t="shared" si="0"/>
        <v>8.4600000000000009E-2</v>
      </c>
    </row>
    <row r="47" spans="1:4" x14ac:dyDescent="0.35">
      <c r="A47" t="s">
        <v>281</v>
      </c>
      <c r="B47" s="3" t="s">
        <v>226</v>
      </c>
      <c r="C47">
        <v>18.88</v>
      </c>
      <c r="D47">
        <f t="shared" si="0"/>
        <v>0.1888</v>
      </c>
    </row>
    <row r="48" spans="1:4" x14ac:dyDescent="0.35">
      <c r="A48" t="s">
        <v>282</v>
      </c>
      <c r="B48" s="3" t="s">
        <v>227</v>
      </c>
      <c r="C48">
        <v>8.93</v>
      </c>
      <c r="D48">
        <f t="shared" si="0"/>
        <v>8.929999999999999E-2</v>
      </c>
    </row>
    <row r="49" spans="1:4" x14ac:dyDescent="0.35">
      <c r="A49" t="s">
        <v>283</v>
      </c>
      <c r="B49" s="3" t="s">
        <v>228</v>
      </c>
      <c r="C49">
        <v>10.53</v>
      </c>
      <c r="D49">
        <f t="shared" si="0"/>
        <v>0.10529999999999999</v>
      </c>
    </row>
    <row r="50" spans="1:4" x14ac:dyDescent="0.35">
      <c r="A50" t="s">
        <v>284</v>
      </c>
      <c r="B50" s="3" t="s">
        <v>229</v>
      </c>
      <c r="C50">
        <v>11.64</v>
      </c>
      <c r="D50">
        <f t="shared" si="0"/>
        <v>0.1164</v>
      </c>
    </row>
    <row r="51" spans="1:4" x14ac:dyDescent="0.35">
      <c r="A51" t="s">
        <v>285</v>
      </c>
      <c r="B51" s="3" t="s">
        <v>230</v>
      </c>
      <c r="C51">
        <v>12.65</v>
      </c>
      <c r="D51">
        <f t="shared" si="0"/>
        <v>0.1265</v>
      </c>
    </row>
    <row r="52" spans="1:4" x14ac:dyDescent="0.35">
      <c r="A52" t="s">
        <v>286</v>
      </c>
      <c r="B52" s="3" t="s">
        <v>231</v>
      </c>
      <c r="C52">
        <v>9.2899999999999991</v>
      </c>
      <c r="D52">
        <f t="shared" si="0"/>
        <v>9.2899999999999996E-2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airport</vt:lpstr>
      <vt:lpstr>JetFuel</vt:lpstr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Smith</dc:creator>
  <cp:lastModifiedBy>Emma Smith</cp:lastModifiedBy>
  <dcterms:created xsi:type="dcterms:W3CDTF">2015-06-05T18:17:20Z</dcterms:created>
  <dcterms:modified xsi:type="dcterms:W3CDTF">2025-06-20T19:59:16Z</dcterms:modified>
</cp:coreProperties>
</file>